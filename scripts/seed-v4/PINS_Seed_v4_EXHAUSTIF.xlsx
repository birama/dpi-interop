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ME" sheetId="1" state="visible" r:id="rId3"/>
    <sheet name="01_METIER" sheetId="2" state="visible" r:id="rId4"/>
    <sheet name="02_TECHNIQUE" sheetId="3" state="visible" r:id="rId5"/>
    <sheet name="03_MAPPING" sheetId="4" state="visible" r:id="rId6"/>
    <sheet name="04_REGISTRES" sheetId="5" state="visible" r:id="rId7"/>
    <sheet name="05_INSTITUTIONS" sheetId="6" state="visible" r:id="rId8"/>
    <sheet name="06_INDICATEURS" sheetId="7" state="visible" r:id="rId9"/>
    <sheet name="07_ESENEGAL_BRU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<sst xmlns="http://schemas.openxmlformats.org/spreadsheetml/2006/main" count="8782" uniqueCount="2266">
  <si>
    <t xml:space="preserve">PINS — Portefeuille national de cas d'usage d'interopérabilité</t>
  </si>
  <si>
    <t xml:space="preserve">Seed exhaustif v4 — v2 + scraping e-senegal.sn</t>
  </si>
  <si>
    <t xml:space="preserve">Auteur</t>
  </si>
  <si>
    <t xml:space="preserve">Birama DIOP — PFNI MCTN/SENUM SA</t>
  </si>
  <si>
    <t xml:space="preserve">Date production</t>
  </si>
  <si>
    <t xml:space="preserve">15 mai 2026</t>
  </si>
  <si>
    <t xml:space="preserve">Sources</t>
  </si>
  <si>
    <t xml:space="preserve">v2 (cadrage P8/P9) + 401 démarches scrapées e-senegal.sn</t>
  </si>
  <si>
    <t xml:space="preserve">Volumétrie</t>
  </si>
  <si>
    <t xml:space="preserve">  Cas métier</t>
  </si>
  <si>
    <t xml:space="preserve">408 (65 v2 + 343 nouveaux e-senegal)</t>
  </si>
  <si>
    <t xml:space="preserve">  Cas techniques</t>
  </si>
  <si>
    <t xml:space="preserve">53 (référentiel P9 v2)</t>
  </si>
  <si>
    <t xml:space="preserve">  Relations métier↔tech</t>
  </si>
  <si>
    <t xml:space="preserve">132 (v2 — à enrichir manuellement pour les nouveaux)</t>
  </si>
  <si>
    <t xml:space="preserve">  Registres</t>
  </si>
  <si>
    <t xml:space="preserve">24</t>
  </si>
  <si>
    <t xml:space="preserve">  Institutions</t>
  </si>
  <si>
    <t xml:space="preserve">51 (référentiel canonique)</t>
  </si>
  <si>
    <t xml:space="preserve">Conventions codes</t>
  </si>
  <si>
    <t xml:space="preserve">  PINS-PROP-MET-NNN</t>
  </si>
  <si>
    <t xml:space="preserve">Cas métier en statut PROPOSE (catalogue propositions)</t>
  </si>
  <si>
    <t xml:space="preserve">  PINS-PROP-TECH-NNN</t>
  </si>
  <si>
    <t xml:space="preserve">Cas technique en statut PROPOSE</t>
  </si>
  <si>
    <t xml:space="preserve">  Numérotation</t>
  </si>
  <si>
    <t xml:space="preserve">001-033 Pro v2 / 034-065 Part v2 / 066+ nouveaux e-senegal</t>
  </si>
  <si>
    <t xml:space="preserve">Domaine enum (14 valeurs PINS)</t>
  </si>
  <si>
    <t xml:space="preserve">  FINANCES_PUBLIQUES</t>
  </si>
  <si>
    <t xml:space="preserve">Fiscal, douane, marchés publics, trésor, finance publique</t>
  </si>
  <si>
    <t xml:space="preserve">  CLIMAT_AFFAIRES</t>
  </si>
  <si>
    <t xml:space="preserve">Création/vie entreprise, commerce, environnement entreprise</t>
  </si>
  <si>
    <t xml:space="preserve">  PROTECTION_SOCIALE</t>
  </si>
  <si>
    <t xml:space="preserve">CSS, IPRES, FNR, RNU, BSF, CMU social</t>
  </si>
  <si>
    <t xml:space="preserve">  SANTE_NUMERIQUE</t>
  </si>
  <si>
    <t xml:space="preserve">Médical, hospitalier, médicament, vaccination</t>
  </si>
  <si>
    <t xml:space="preserve">  EDUCATION</t>
  </si>
  <si>
    <t xml:space="preserve">Universitaire, scolaire, formation académique</t>
  </si>
  <si>
    <t xml:space="preserve">  IDENTITE_NUMERIQUE</t>
  </si>
  <si>
    <t xml:space="preserve">CNI, passeport, nationalité, identifiants</t>
  </si>
  <si>
    <t xml:space="preserve">  JUSTICE_ETAT_CIVIL</t>
  </si>
  <si>
    <t xml:space="preserve">État civil, casier, justice, succession</t>
  </si>
  <si>
    <t xml:space="preserve">  FONCIER_CADASTRE</t>
  </si>
  <si>
    <t xml:space="preserve">Foncier, cadastre, urbanisme, logement</t>
  </si>
  <si>
    <t xml:space="preserve">  AGRICULTURE_NUMERIQUE</t>
  </si>
  <si>
    <t xml:space="preserve">Agriculture, ANCAR, élevage</t>
  </si>
  <si>
    <t xml:space="preserve">  EMPLOI_FORMATION</t>
  </si>
  <si>
    <t xml:space="preserve">Emploi, ANPEJ, formation pro</t>
  </si>
  <si>
    <t xml:space="preserve">  SERVICES_CITOYENS</t>
  </si>
  <si>
    <t xml:space="preserve">Transport, associations, sectoriel, ordres pro</t>
  </si>
  <si>
    <t xml:space="preserve">  GOUVERNANCE_DONNEES</t>
  </si>
  <si>
    <t xml:space="preserve">Référentiels, interop, archive</t>
  </si>
  <si>
    <t xml:space="preserve">  CYBERSECURITE</t>
  </si>
  <si>
    <t xml:space="preserve">Sécurité numérique, télécoms, certificats</t>
  </si>
  <si>
    <t xml:space="preserve">  TRANSVERSAL</t>
  </si>
  <si>
    <t xml:space="preserve">Par défaut, à affiner</t>
  </si>
  <si>
    <t xml:space="preserve">Maturité (P8)</t>
  </si>
  <si>
    <t xml:space="preserve">  ESQUISSE</t>
  </si>
  <si>
    <t xml:space="preserve">Idée formulée sans spécification (par défaut nouveaux)</t>
  </si>
  <si>
    <t xml:space="preserve">  PRE_CADREE</t>
  </si>
  <si>
    <t xml:space="preserve">Institutions pressenties identifiées et référentiels listés</t>
  </si>
  <si>
    <t xml:space="preserve">  PRETE_A_ADOPTER</t>
  </si>
  <si>
    <t xml:space="preserve">Travail préparatoire effectué - l'administration n'a qu'à s'engager</t>
  </si>
  <si>
    <t xml:space="preserve">Onglets</t>
  </si>
  <si>
    <t xml:space="preserve">  01_METIER</t>
  </si>
  <si>
    <t xml:space="preserve">408 cas métier (v2 enrichis + nouveaux e-senegal)</t>
  </si>
  <si>
    <t xml:space="preserve">  02_TECHNIQUE</t>
  </si>
  <si>
    <t xml:space="preserve">53 cas techniques (v2)</t>
  </si>
  <si>
    <t xml:space="preserve">  03_MAPPING</t>
  </si>
  <si>
    <t xml:space="preserve">132 relations métier→technique (v2 — à étendre)</t>
  </si>
  <si>
    <t xml:space="preserve">  04_REGISTRES</t>
  </si>
  <si>
    <t xml:space="preserve">24 registres nationaux</t>
  </si>
  <si>
    <t xml:space="preserve">  05_INSTITUTIONS</t>
  </si>
  <si>
    <t xml:space="preserve">51 institutions</t>
  </si>
  <si>
    <t xml:space="preserve">  06_INDICATEURS</t>
  </si>
  <si>
    <t xml:space="preserve">Statistiques portefeuille</t>
  </si>
  <si>
    <t xml:space="preserve">  07_ESENEGAL_BRUT</t>
  </si>
  <si>
    <t xml:space="preserve">401 démarches scrapées avec verdict couverture</t>
  </si>
  <si>
    <t xml:space="preserve">Code</t>
  </si>
  <si>
    <t xml:space="preserve">Titre</t>
  </si>
  <si>
    <t xml:space="preserve">Segment</t>
  </si>
  <si>
    <t xml:space="preserve">Domaine métier</t>
  </si>
  <si>
    <t xml:space="preserve">Bénéficiaire</t>
  </si>
  <si>
    <t xml:space="preserve">Institution coordinatrice</t>
  </si>
  <si>
    <t xml:space="preserve">Institutions pressenties</t>
  </si>
  <si>
    <t xml:space="preserve">Base légale</t>
  </si>
  <si>
    <t xml:space="preserve">Parcours résumé</t>
  </si>
  <si>
    <t xml:space="preserve">Délai cible</t>
  </si>
  <si>
    <t xml:space="preserve">Maturité</t>
  </si>
  <si>
    <t xml:space="preserve">Source</t>
  </si>
  <si>
    <t xml:space="preserve">Registres touchés</t>
  </si>
  <si>
    <t xml:space="preserve">Services techniques mobilisés</t>
  </si>
  <si>
    <t xml:space="preserve">Domaine enum (PINS 14)</t>
  </si>
  <si>
    <t xml:space="preserve">Code cible après adoption</t>
  </si>
  <si>
    <t xml:space="preserve">Origine</t>
  </si>
  <si>
    <t xml:space="preserve">PINS-PROP-MET-001</t>
  </si>
  <si>
    <t xml:space="preserve">Création d'entreprise au guichet unique</t>
  </si>
  <si>
    <t xml:space="preserve">Professionnel</t>
  </si>
  <si>
    <t xml:space="preserve">Création et vie de l'entreprise</t>
  </si>
  <si>
    <t xml:space="preserve">Entreprise (PM/PP)</t>
  </si>
  <si>
    <t xml:space="preserve">INST-APIX</t>
  </si>
  <si>
    <t xml:space="preserve">INST-APIX, INST-ANSD, INST-MJ-GREFFE, INST-DGID, INST-CSS, INST-IPRES, INST-MJ-CASIER</t>
  </si>
  <si>
    <t xml:space="preserve">Acte uniforme OHADA, loi sur l'investissement, décret APIX guichet unique</t>
  </si>
  <si>
    <t xml:space="preserve">Dépôt en ligne du dossier APIX, vérification casier des dirigeants, immatriculation RCCM, attribution NINEA, déclaration fiscale initiale, affiliation CSS et IPRES</t>
  </si>
  <si>
    <t xml:space="preserve">48 heures cible</t>
  </si>
  <si>
    <t xml:space="preserve">PRETE_A_ADOPTER</t>
  </si>
  <si>
    <t xml:space="preserve">ATELIER_CADRAGE</t>
  </si>
  <si>
    <t xml:space="preserve">REG-NINEA, REG-RCCM, REG-CASIER</t>
  </si>
  <si>
    <t xml:space="preserve">PINS-PROP-TECH-001, PINS-PROP-TECH-005, PINS-PROP-TECH-010, PINS-PROP-TECH-020, PINS-PROP-TECH-030, PINS-PROP-TECH-031</t>
  </si>
  <si>
    <t xml:space="preserve">CLIMAT_AFFAIRES</t>
  </si>
  <si>
    <t xml:space="preserve">PINS-METIER-101</t>
  </si>
  <si>
    <t xml:space="preserve">v2_cadrage</t>
  </si>
  <si>
    <t xml:space="preserve">PINS-PROP-MET-002</t>
  </si>
  <si>
    <t xml:space="preserve">Modification des statuts d'entreprise</t>
  </si>
  <si>
    <t xml:space="preserve">Entreprise</t>
  </si>
  <si>
    <t xml:space="preserve">INST-MJ-GREFFE</t>
  </si>
  <si>
    <t xml:space="preserve">INST-MJ-GREFFE, INST-DGID, INST-ANSD, INST-APIX</t>
  </si>
  <si>
    <t xml:space="preserve">Acte uniforme OHADA</t>
  </si>
  <si>
    <t xml:space="preserve">Dépôt acte modificatif au greffe, mise à jour RCCM, notification DGID et ANSD pour mise à jour NINEA</t>
  </si>
  <si>
    <t xml:space="preserve">10 jours</t>
  </si>
  <si>
    <t xml:space="preserve">PRE_CADREE</t>
  </si>
  <si>
    <t xml:space="preserve">PROPOSITION_INSTITUTIONNELLE</t>
  </si>
  <si>
    <t xml:space="preserve">REG-RCCM, REG-NINEA</t>
  </si>
  <si>
    <t xml:space="preserve">PINS-PROP-TECH-006, PINS-PROP-TECH-003</t>
  </si>
  <si>
    <t xml:space="preserve">PINS-METIER-102</t>
  </si>
  <si>
    <t xml:space="preserve">PINS-PROP-MET-003</t>
  </si>
  <si>
    <t xml:space="preserve">Cessation d'activité et radiation d'entreprise</t>
  </si>
  <si>
    <t xml:space="preserve">INST-APIX, INST-MJ-GREFFE, INST-DGID, INST-CSS, INST-IPRES, INST-ANSD</t>
  </si>
  <si>
    <t xml:space="preserve">Acte uniforme OHADA, code des impôts</t>
  </si>
  <si>
    <t xml:space="preserve">Quitus fiscal et social préalable, radiation RCCM, fermeture NINEA</t>
  </si>
  <si>
    <t xml:space="preserve">30 jours</t>
  </si>
  <si>
    <t xml:space="preserve">REG-RCCM, REG-NINEA, REG-FISCAL, REG-CSS-AFF, REG-IPRES-AFF</t>
  </si>
  <si>
    <t xml:space="preserve">PINS-PROP-TECH-021, PINS-PROP-TECH-032, PINS-PROP-TECH-033, PINS-PROP-TECH-006</t>
  </si>
  <si>
    <t xml:space="preserve">PINS-METIER-103</t>
  </si>
  <si>
    <t xml:space="preserve">PINS-PROP-MET-004</t>
  </si>
  <si>
    <t xml:space="preserve">Création d'entreprise individuelle</t>
  </si>
  <si>
    <t xml:space="preserve">Personne physique</t>
  </si>
  <si>
    <t xml:space="preserve">INST-APIX, INST-ANSD, INST-DGID</t>
  </si>
  <si>
    <t xml:space="preserve">Loi sur l'entreprenant OHADA</t>
  </si>
  <si>
    <t xml:space="preserve">Déclaration en ligne, attribution NINEA simplifié, immatriculation au registre de l'entreprenant</t>
  </si>
  <si>
    <t xml:space="preserve">24 heures</t>
  </si>
  <si>
    <t xml:space="preserve">REG-NINEA, REG-RCCM</t>
  </si>
  <si>
    <t xml:space="preserve">PINS-PROP-TECH-001, PINS-PROP-TECH-002, PINS-PROP-TECH-005</t>
  </si>
  <si>
    <t xml:space="preserve">PINS-METIER-104</t>
  </si>
  <si>
    <t xml:space="preserve">PINS-PROP-MET-005</t>
  </si>
  <si>
    <t xml:space="preserve">Création de groupement d'intérêt économique (GIE)</t>
  </si>
  <si>
    <t xml:space="preserve">GIE</t>
  </si>
  <si>
    <t xml:space="preserve">INST-MJ-GREFFE, INST-ANSD, INST-DGID</t>
  </si>
  <si>
    <t xml:space="preserve">Dépôt acte constitutif, immatriculation RCCM, NINEA</t>
  </si>
  <si>
    <t xml:space="preserve">5 jours</t>
  </si>
  <si>
    <t xml:space="preserve">ETUDE_SENUM</t>
  </si>
  <si>
    <t xml:space="preserve">PINS-PROP-TECH-001, PINS-PROP-TECH-005</t>
  </si>
  <si>
    <t xml:space="preserve">PINS-METIER-105</t>
  </si>
  <si>
    <t xml:space="preserve">PINS-PROP-MET-006</t>
  </si>
  <si>
    <t xml:space="preserve">Déclaration et paiement de l'impôt sur les sociétés (IS)</t>
  </si>
  <si>
    <t xml:space="preserve">Obligations fiscales</t>
  </si>
  <si>
    <t xml:space="preserve">Entreprise (PM)</t>
  </si>
  <si>
    <t xml:space="preserve">INST-DGID</t>
  </si>
  <si>
    <t xml:space="preserve">INST-DGID, INST-DGCPT</t>
  </si>
  <si>
    <t xml:space="preserve">Code général des impôts</t>
  </si>
  <si>
    <t xml:space="preserve">Télédéclaration en ligne, calcul de l'impôt, paiement via DGCPT</t>
  </si>
  <si>
    <t xml:space="preserve">Annuelle</t>
  </si>
  <si>
    <t xml:space="preserve">REG-FISCAL, REG-NINEA</t>
  </si>
  <si>
    <t xml:space="preserve">PINS-PROP-TECH-001, PINS-PROP-TECH-022, PINS-PROP-TECH-110</t>
  </si>
  <si>
    <t xml:space="preserve">FINANCES_PUBLIQUES</t>
  </si>
  <si>
    <t xml:space="preserve">PINS-METIER-106</t>
  </si>
  <si>
    <t xml:space="preserve">PINS-PROP-MET-007</t>
  </si>
  <si>
    <t xml:space="preserve">Déclaration et paiement de la TVA</t>
  </si>
  <si>
    <t xml:space="preserve">Code général des impôts (TVA)</t>
  </si>
  <si>
    <t xml:space="preserve">Télédéclaration mensuelle, paiement DGCPT</t>
  </si>
  <si>
    <t xml:space="preserve">Mensuelle</t>
  </si>
  <si>
    <t xml:space="preserve">PINS-METIER-107</t>
  </si>
  <si>
    <t xml:space="preserve">PINS-PROP-MET-008</t>
  </si>
  <si>
    <t xml:space="preserve">Demande de quitus fiscal / attestation de régularité fiscale</t>
  </si>
  <si>
    <t xml:space="preserve">Entreprise ou particulier</t>
  </si>
  <si>
    <t xml:space="preserve">Code général des impôts, décret marchés publics</t>
  </si>
  <si>
    <t xml:space="preserve">Demande en ligne, vérification de la situation fiscale, génération attestation</t>
  </si>
  <si>
    <t xml:space="preserve">72 heures</t>
  </si>
  <si>
    <t xml:space="preserve">PINS-PROP-TECH-020, PINS-PROP-TECH-021</t>
  </si>
  <si>
    <t xml:space="preserve">PINS-METIER-108</t>
  </si>
  <si>
    <t xml:space="preserve">PINS-PROP-MET-009</t>
  </si>
  <si>
    <t xml:space="preserve">Régularisation et recours fiscal entreprise</t>
  </si>
  <si>
    <t xml:space="preserve">Code général des impôts, livre des procédures fiscales</t>
  </si>
  <si>
    <t xml:space="preserve">Dépôt recours, instruction, décision, paiement éventuel</t>
  </si>
  <si>
    <t xml:space="preserve">Variable</t>
  </si>
  <si>
    <t xml:space="preserve">ESQUISSE</t>
  </si>
  <si>
    <t xml:space="preserve">REG-FISCAL</t>
  </si>
  <si>
    <t xml:space="preserve">PINS-PROP-TECH-022, PINS-PROP-TECH-023</t>
  </si>
  <si>
    <t xml:space="preserve">PINS-METIER-109</t>
  </si>
  <si>
    <t xml:space="preserve">PINS-PROP-MET-010</t>
  </si>
  <si>
    <t xml:space="preserve">Déclaration de la Contribution Forfaitaire à la Charge de l'Employeur (CFCE)</t>
  </si>
  <si>
    <t xml:space="preserve">Entreprise employeur</t>
  </si>
  <si>
    <t xml:space="preserve">INST-DGID, INST-CSS, INST-IPRES</t>
  </si>
  <si>
    <t xml:space="preserve">Télédéclaration sur la base de la masse salariale CSS/IPRES</t>
  </si>
  <si>
    <t xml:space="preserve">CADRAGE_STRATEGIQUE</t>
  </si>
  <si>
    <t xml:space="preserve">REG-FISCAL, REG-CSS-AFF, REG-IPRES-AFF</t>
  </si>
  <si>
    <t xml:space="preserve">PINS-PROP-TECH-034, PINS-PROP-TECH-110</t>
  </si>
  <si>
    <t xml:space="preserve">PINS-METIER-110</t>
  </si>
  <si>
    <t xml:space="preserve">PINS-PROP-MET-011</t>
  </si>
  <si>
    <t xml:space="preserve">Affiliation employeur à la CSS</t>
  </si>
  <si>
    <t xml:space="preserve">Obligations sociales</t>
  </si>
  <si>
    <t xml:space="preserve">INST-CSS</t>
  </si>
  <si>
    <t xml:space="preserve">INST-CSS, INST-ANSD</t>
  </si>
  <si>
    <t xml:space="preserve">Code de la sécurité sociale</t>
  </si>
  <si>
    <t xml:space="preserve">Inscription en ligne, attribution numéro CSS</t>
  </si>
  <si>
    <t xml:space="preserve">REG-CSS-AFF, REG-NINEA</t>
  </si>
  <si>
    <t xml:space="preserve">PINS-PROP-TECH-001, PINS-PROP-TECH-030</t>
  </si>
  <si>
    <t xml:space="preserve">PROTECTION_SOCIALE</t>
  </si>
  <si>
    <t xml:space="preserve">PINS-METIER-111</t>
  </si>
  <si>
    <t xml:space="preserve">PINS-PROP-MET-012</t>
  </si>
  <si>
    <t xml:space="preserve">Affiliation employeur à l'IPRES</t>
  </si>
  <si>
    <t xml:space="preserve">INST-IPRES</t>
  </si>
  <si>
    <t xml:space="preserve">INST-IPRES, INST-ANSD</t>
  </si>
  <si>
    <t xml:space="preserve">Convention collective interprofessionnelle, statut IPRES</t>
  </si>
  <si>
    <t xml:space="preserve">Inscription en ligne, attribution numéro IPRES</t>
  </si>
  <si>
    <t xml:space="preserve">REG-IPRES-AFF, REG-NINEA</t>
  </si>
  <si>
    <t xml:space="preserve">PINS-PROP-TECH-001, PINS-PROP-TECH-031</t>
  </si>
  <si>
    <t xml:space="preserve">PINS-METIER-112</t>
  </si>
  <si>
    <t xml:space="preserve">PINS-PROP-MET-013</t>
  </si>
  <si>
    <t xml:space="preserve">Déclaration mensuelle des salaires (DUS) CSS/IPRES</t>
  </si>
  <si>
    <t xml:space="preserve">INST-CSS, INST-IPRES, INST-DGID</t>
  </si>
  <si>
    <t xml:space="preserve">Code sécurité sociale, statut IPRES</t>
  </si>
  <si>
    <t xml:space="preserve">Déclaration unique des salaires, calcul des cotisations, paiement</t>
  </si>
  <si>
    <t xml:space="preserve">REG-CSS-AFF, REG-IPRES-AFF</t>
  </si>
  <si>
    <t xml:space="preserve">PINS-METIER-113</t>
  </si>
  <si>
    <t xml:space="preserve">PINS-PROP-MET-014</t>
  </si>
  <si>
    <t xml:space="preserve">Attestation de régularité sociale CSS / IPRES</t>
  </si>
  <si>
    <t xml:space="preserve">INST-CSS, INST-IPRES</t>
  </si>
  <si>
    <t xml:space="preserve">Code sécurité sociale, décret marchés publics</t>
  </si>
  <si>
    <t xml:space="preserve">Demande en ligne, vérification cotisations à jour, attestation</t>
  </si>
  <si>
    <t xml:space="preserve">48 heures</t>
  </si>
  <si>
    <t xml:space="preserve">PINS-PROP-TECH-032, PINS-PROP-TECH-033</t>
  </si>
  <si>
    <t xml:space="preserve">PINS-METIER-114</t>
  </si>
  <si>
    <t xml:space="preserve">PINS-PROP-MET-015</t>
  </si>
  <si>
    <t xml:space="preserve">Déclaration d'accident du travail</t>
  </si>
  <si>
    <t xml:space="preserve">INST-CSS, INST-MSAS</t>
  </si>
  <si>
    <t xml:space="preserve">Déclaration en ligne, prise en charge médicale, instruction</t>
  </si>
  <si>
    <t xml:space="preserve">REG-CSS-AFF</t>
  </si>
  <si>
    <t xml:space="preserve">PINS-PROP-TECH-030</t>
  </si>
  <si>
    <t xml:space="preserve">PINS-METIER-115</t>
  </si>
  <si>
    <t xml:space="preserve">PINS-PROP-MET-016</t>
  </si>
  <si>
    <t xml:space="preserve">Déclaration en douane (DAU import/export)</t>
  </si>
  <si>
    <t xml:space="preserve">Commerce extérieur</t>
  </si>
  <si>
    <t xml:space="preserve">Entreprise importateur/exportateur</t>
  </si>
  <si>
    <t xml:space="preserve">INST-DGD</t>
  </si>
  <si>
    <t xml:space="preserve">INST-DGD, INST-DGID, INST-DGCPT, INST-ANSD</t>
  </si>
  <si>
    <t xml:space="preserve">Code des douanes, code CEDEAO</t>
  </si>
  <si>
    <t xml:space="preserve">Saisie DAU, calcul des droits et taxes, paiement, mainlevée</t>
  </si>
  <si>
    <t xml:space="preserve">REG-DOUANE, REG-NINEA, REG-FISCAL</t>
  </si>
  <si>
    <t xml:space="preserve">PINS-PROP-TECH-001, PINS-PROP-TECH-020, PINS-PROP-TECH-060, PINS-PROP-TECH-110</t>
  </si>
  <si>
    <t xml:space="preserve">PINS-METIER-116</t>
  </si>
  <si>
    <t xml:space="preserve">PINS-PROP-MET-017</t>
  </si>
  <si>
    <t xml:space="preserve">Demande de carte d'importateur / exportateur</t>
  </si>
  <si>
    <t xml:space="preserve">INST-DGD, INST-MICS, INST-DGID, INST-ANSD</t>
  </si>
  <si>
    <t xml:space="preserve">Décret régissant l'importation et l'exportation</t>
  </si>
  <si>
    <t xml:space="preserve">Constitution dossier, vérification fiscale, attribution carte</t>
  </si>
  <si>
    <t xml:space="preserve">PINS-PROP-TECH-001, PINS-PROP-TECH-020, PINS-PROP-TECH-060</t>
  </si>
  <si>
    <t xml:space="preserve">PINS-METIER-117</t>
  </si>
  <si>
    <t xml:space="preserve">PINS-PROP-MET-018</t>
  </si>
  <si>
    <t xml:space="preserve">Domiciliation bancaire d'opérations d'import / export</t>
  </si>
  <si>
    <t xml:space="preserve">INST-DGD, INST-BCEAO</t>
  </si>
  <si>
    <t xml:space="preserve">Règlement BCEAO sur les changes</t>
  </si>
  <si>
    <t xml:space="preserve">Domiciliation auprès d'une banque agréée, déclaration BCEAO et DGD</t>
  </si>
  <si>
    <t xml:space="preserve">REG-DOUANE</t>
  </si>
  <si>
    <t xml:space="preserve">PINS-PROP-TECH-060</t>
  </si>
  <si>
    <t xml:space="preserve">PINS-METIER-118</t>
  </si>
  <si>
    <t xml:space="preserve">PINS-PROP-MET-019</t>
  </si>
  <si>
    <t xml:space="preserve">Crédit d'enlèvement / différé de paiement douanier</t>
  </si>
  <si>
    <t xml:space="preserve">INST-DGD, INST-DGCPT</t>
  </si>
  <si>
    <t xml:space="preserve">Code des douanes</t>
  </si>
  <si>
    <t xml:space="preserve">Caution, autorisation, suivi des engagements</t>
  </si>
  <si>
    <t xml:space="preserve">15 jours</t>
  </si>
  <si>
    <t xml:space="preserve">PINS-PROP-TECH-060, PINS-PROP-TECH-110</t>
  </si>
  <si>
    <t xml:space="preserve">PINS-METIER-119</t>
  </si>
  <si>
    <t xml:space="preserve">PINS-PROP-MET-020</t>
  </si>
  <si>
    <t xml:space="preserve">Inscription au répertoire ARMP des opérateurs économiques</t>
  </si>
  <si>
    <t xml:space="preserve">Marchés publics</t>
  </si>
  <si>
    <t xml:space="preserve">INST-ARMP</t>
  </si>
  <si>
    <t xml:space="preserve">INST-ARMP, INST-DGID, INST-CSS, INST-IPRES, INST-MJ-GREFFE</t>
  </si>
  <si>
    <t xml:space="preserve">Code des marchés publics</t>
  </si>
  <si>
    <t xml:space="preserve">Constitution dossier, vérification quitus, immatriculation</t>
  </si>
  <si>
    <t xml:space="preserve">RECOMMANDATION</t>
  </si>
  <si>
    <t xml:space="preserve">REG-ARMP-OE, REG-FISCAL, REG-CSS-AFF, REG-IPRES-AFF</t>
  </si>
  <si>
    <t xml:space="preserve">PINS-PROP-TECH-020, PINS-PROP-TECH-032, PINS-PROP-TECH-033, PINS-PROP-TECH-012</t>
  </si>
  <si>
    <t xml:space="preserve">PINS-METIER-120</t>
  </si>
  <si>
    <t xml:space="preserve">PINS-PROP-MET-021</t>
  </si>
  <si>
    <t xml:space="preserve">Soumission dématérialisée à un appel d'offres</t>
  </si>
  <si>
    <t xml:space="preserve">INST-DCMP</t>
  </si>
  <si>
    <t xml:space="preserve">INST-DCMP, INST-ARMP</t>
  </si>
  <si>
    <t xml:space="preserve">Téléchargement DAO, dépôt offre en ligne, ouverture publique</t>
  </si>
  <si>
    <t xml:space="preserve">Selon DAO</t>
  </si>
  <si>
    <t xml:space="preserve">REG-ARMP-OE</t>
  </si>
  <si>
    <t xml:space="preserve">PINS-PROP-TECH-020, PINS-PROP-TECH-032, PINS-PROP-TECH-122</t>
  </si>
  <si>
    <t xml:space="preserve">PINS-METIER-121</t>
  </si>
  <si>
    <t xml:space="preserve">PINS-PROP-MET-022</t>
  </si>
  <si>
    <t xml:space="preserve">Demande d'attestation de non-faillite</t>
  </si>
  <si>
    <t xml:space="preserve">Acte uniforme OHADA procédures collectives</t>
  </si>
  <si>
    <t xml:space="preserve">Demande en ligne, vérification greffe, génération attestation</t>
  </si>
  <si>
    <t xml:space="preserve">REG-RCCM</t>
  </si>
  <si>
    <t xml:space="preserve">PINS-PROP-TECH-012</t>
  </si>
  <si>
    <t xml:space="preserve">PINS-METIER-122</t>
  </si>
  <si>
    <t xml:space="preserve">PINS-PROP-MET-023</t>
  </si>
  <si>
    <t xml:space="preserve">Agrément d'établissement financier</t>
  </si>
  <si>
    <t xml:space="preserve">Autorisations sectorielles</t>
  </si>
  <si>
    <t xml:space="preserve">Entreprise financière</t>
  </si>
  <si>
    <t xml:space="preserve">INST-MFB</t>
  </si>
  <si>
    <t xml:space="preserve">INST-MFB, INST-BCEAO, INST-DGID</t>
  </si>
  <si>
    <t xml:space="preserve">Loi bancaire UEMOA, règlement BCEAO</t>
  </si>
  <si>
    <t xml:space="preserve">Dossier, instruction MFB, avis BCEAO, agrément</t>
  </si>
  <si>
    <t xml:space="preserve">6 mois</t>
  </si>
  <si>
    <t xml:space="preserve">PINS-PROP-TECH-001, PINS-PROP-TECH-005, PINS-PROP-TECH-011</t>
  </si>
  <si>
    <t xml:space="preserve">SERVICES_CITOYENS</t>
  </si>
  <si>
    <t xml:space="preserve">PINS-METIER-123</t>
  </si>
  <si>
    <t xml:space="preserve">PINS-PROP-MET-024</t>
  </si>
  <si>
    <t xml:space="preserve">Licence opérateur télécom</t>
  </si>
  <si>
    <t xml:space="preserve">Opérateur télécom</t>
  </si>
  <si>
    <t xml:space="preserve">INST-ARTP</t>
  </si>
  <si>
    <t xml:space="preserve">INST-ARTP, INST-MCTN</t>
  </si>
  <si>
    <t xml:space="preserve">Code des télécommunications</t>
  </si>
  <si>
    <t xml:space="preserve">Dossier de candidature, instruction, attribution</t>
  </si>
  <si>
    <t xml:space="preserve">REG-NINEA</t>
  </si>
  <si>
    <t xml:space="preserve">PINS-PROP-TECH-001</t>
  </si>
  <si>
    <t xml:space="preserve">PINS-METIER-124</t>
  </si>
  <si>
    <t xml:space="preserve">PINS-PROP-MET-025</t>
  </si>
  <si>
    <t xml:space="preserve">Permis minier</t>
  </si>
  <si>
    <t xml:space="preserve">Entreprise minière</t>
  </si>
  <si>
    <t xml:space="preserve">INST-DMG</t>
  </si>
  <si>
    <t xml:space="preserve">INST-DMG, INST-DGID, INST-MUH</t>
  </si>
  <si>
    <t xml:space="preserve">Code minier</t>
  </si>
  <si>
    <t xml:space="preserve">Constitution dossier, étude d'impact, permis</t>
  </si>
  <si>
    <t xml:space="preserve">12 mois</t>
  </si>
  <si>
    <t xml:space="preserve">REG-NINEA, REG-CADASTRE</t>
  </si>
  <si>
    <t xml:space="preserve">PINS-PROP-TECH-001, PINS-PROP-TECH-070</t>
  </si>
  <si>
    <t xml:space="preserve">PINS-METIER-125</t>
  </si>
  <si>
    <t xml:space="preserve">PINS-PROP-MET-026</t>
  </si>
  <si>
    <t xml:space="preserve">Permis de pêche industrielle</t>
  </si>
  <si>
    <t xml:space="preserve">Armateur</t>
  </si>
  <si>
    <t xml:space="preserve">INST-DPM</t>
  </si>
  <si>
    <t xml:space="preserve">INST-DPM, INST-DGD</t>
  </si>
  <si>
    <t xml:space="preserve">Code de la pêche maritime</t>
  </si>
  <si>
    <t xml:space="preserve">Demande, vérification, attribution licence</t>
  </si>
  <si>
    <t xml:space="preserve">PINS-PROP-TECH-001, PINS-PROP-TECH-060</t>
  </si>
  <si>
    <t xml:space="preserve">PINS-METIER-126</t>
  </si>
  <si>
    <t xml:space="preserve">PINS-PROP-MET-027</t>
  </si>
  <si>
    <t xml:space="preserve">Agrément d'exploitation forestière</t>
  </si>
  <si>
    <t xml:space="preserve">Entreprise forestière</t>
  </si>
  <si>
    <t xml:space="preserve">INST-DEFC</t>
  </si>
  <si>
    <t xml:space="preserve">INST-DEFC, INST-MUH</t>
  </si>
  <si>
    <t xml:space="preserve">Code forestier</t>
  </si>
  <si>
    <t xml:space="preserve">Dossier technique, étude d'impact, autorisation</t>
  </si>
  <si>
    <t xml:space="preserve">60 jours</t>
  </si>
  <si>
    <t xml:space="preserve">PINS-METIER-127</t>
  </si>
  <si>
    <t xml:space="preserve">PINS-PROP-MET-028</t>
  </si>
  <si>
    <t xml:space="preserve">Certificat de conformité ASN</t>
  </si>
  <si>
    <t xml:space="preserve">Entreprise / industriel</t>
  </si>
  <si>
    <t xml:space="preserve">INST-ASN</t>
  </si>
  <si>
    <t xml:space="preserve">INST-ASN, INST-MICS</t>
  </si>
  <si>
    <t xml:space="preserve">Loi sur la normalisation</t>
  </si>
  <si>
    <t xml:space="preserve">Demande, essais, certification</t>
  </si>
  <si>
    <t xml:space="preserve">PINS-METIER-128</t>
  </si>
  <si>
    <t xml:space="preserve">PINS-PROP-MET-029</t>
  </si>
  <si>
    <t xml:space="preserve">Permis de construire (commercial/industriel)</t>
  </si>
  <si>
    <t xml:space="preserve">Foncier et urbanisme</t>
  </si>
  <si>
    <t xml:space="preserve">INST-MUH</t>
  </si>
  <si>
    <t xml:space="preserve">INST-MUH, INST-COMMUNES, INST-DGID</t>
  </si>
  <si>
    <t xml:space="preserve">Code de l'urbanisme</t>
  </si>
  <si>
    <t xml:space="preserve">Dépôt du projet, instruction, autorisation</t>
  </si>
  <si>
    <t xml:space="preserve">REG-CADASTRE, REG-TITRES</t>
  </si>
  <si>
    <t xml:space="preserve">PINS-PROP-TECH-070, PINS-PROP-TECH-072</t>
  </si>
  <si>
    <t xml:space="preserve">FONCIER_CADASTRE</t>
  </si>
  <si>
    <t xml:space="preserve">PINS-METIER-129</t>
  </si>
  <si>
    <t xml:space="preserve">PINS-PROP-MET-030</t>
  </si>
  <si>
    <t xml:space="preserve">Demande de bail emphytéotique d'État</t>
  </si>
  <si>
    <t xml:space="preserve">INST-DGID, INST-MUH</t>
  </si>
  <si>
    <t xml:space="preserve">Code domaine de l'État</t>
  </si>
  <si>
    <t xml:space="preserve">Demande, instruction, octroi du bail</t>
  </si>
  <si>
    <t xml:space="preserve">120 jours</t>
  </si>
  <si>
    <t xml:space="preserve">PINS-PROP-TECH-070</t>
  </si>
  <si>
    <t xml:space="preserve">PINS-METIER-130</t>
  </si>
  <si>
    <t xml:space="preserve">PINS-PROP-MET-031</t>
  </si>
  <si>
    <t xml:space="preserve">Inscription au tableau d'un ordre professionnel</t>
  </si>
  <si>
    <t xml:space="preserve">Professions libérales</t>
  </si>
  <si>
    <t xml:space="preserve">Personne physique professionnel</t>
  </si>
  <si>
    <t xml:space="preserve">INST-ONECCA</t>
  </si>
  <si>
    <t xml:space="preserve">INST-ONECCA, INST-MESRI, INST-DGID</t>
  </si>
  <si>
    <t xml:space="preserve">Statuts de l'ordre</t>
  </si>
  <si>
    <t xml:space="preserve">Vérification diplôme, casier, inscription</t>
  </si>
  <si>
    <t xml:space="preserve">REG-PROFLIB, REG-DIPLOMES, REG-CASIER</t>
  </si>
  <si>
    <t xml:space="preserve">PINS-PROP-TECH-010, PINS-PROP-TECH-080</t>
  </si>
  <si>
    <t xml:space="preserve">PINS-METIER-131</t>
  </si>
  <si>
    <t xml:space="preserve">PINS-PROP-MET-032</t>
  </si>
  <si>
    <t xml:space="preserve">Récépissé de déclaration d'association</t>
  </si>
  <si>
    <t xml:space="preserve">Associations et ONG</t>
  </si>
  <si>
    <t xml:space="preserve">Association</t>
  </si>
  <si>
    <t xml:space="preserve">INST-MINT</t>
  </si>
  <si>
    <t xml:space="preserve">INST-MINT, INST-ANSD</t>
  </si>
  <si>
    <t xml:space="preserve">Loi sur les associations</t>
  </si>
  <si>
    <t xml:space="preserve">Dépôt statuts, récépissé, attribution NINEA association</t>
  </si>
  <si>
    <t xml:space="preserve">REG-ASSOC, REG-NINEA</t>
  </si>
  <si>
    <t xml:space="preserve">PINS-METIER-132</t>
  </si>
  <si>
    <t xml:space="preserve">PINS-PROP-MET-033</t>
  </si>
  <si>
    <t xml:space="preserve">Agrément ONG nationale</t>
  </si>
  <si>
    <t xml:space="preserve">ONG</t>
  </si>
  <si>
    <t xml:space="preserve">INST-MINT, INST-DGID</t>
  </si>
  <si>
    <t xml:space="preserve">Loi ONG</t>
  </si>
  <si>
    <t xml:space="preserve">Dossier, instruction, agrément</t>
  </si>
  <si>
    <t xml:space="preserve">90 jours</t>
  </si>
  <si>
    <t xml:space="preserve">REG-ASSOC</t>
  </si>
  <si>
    <t xml:space="preserve">PINS-PROP-TECH-001, PINS-PROP-TECH-020</t>
  </si>
  <si>
    <t xml:space="preserve">PINS-METIER-133</t>
  </si>
  <si>
    <t xml:space="preserve">PINS-PROP-MET-034</t>
  </si>
  <si>
    <t xml:space="preserve">Demande d'acte de naissance dématérialisé</t>
  </si>
  <si>
    <t xml:space="preserve">Particulier</t>
  </si>
  <si>
    <t xml:space="preserve">État civil</t>
  </si>
  <si>
    <t xml:space="preserve">Citoyen</t>
  </si>
  <si>
    <t xml:space="preserve">INST-DGEC</t>
  </si>
  <si>
    <t xml:space="preserve">INST-DGEC, INST-COMMUNES</t>
  </si>
  <si>
    <t xml:space="preserve">Code de la famille</t>
  </si>
  <si>
    <t xml:space="preserve">Demande en ligne, retrait au centre d'état civil ou e-récépissé</t>
  </si>
  <si>
    <t xml:space="preserve">REG-REGEC</t>
  </si>
  <si>
    <t xml:space="preserve">PINS-PROP-TECH-040, PINS-PROP-TECH-043</t>
  </si>
  <si>
    <t xml:space="preserve">JUSTICE_ETAT_CIVIL</t>
  </si>
  <si>
    <t xml:space="preserve">PINS-METIER-134</t>
  </si>
  <si>
    <t xml:space="preserve">PINS-PROP-MET-035</t>
  </si>
  <si>
    <t xml:space="preserve">Demande d'acte de mariage</t>
  </si>
  <si>
    <t xml:space="preserve">Demande en ligne, retrait à la mairie</t>
  </si>
  <si>
    <t xml:space="preserve">PINS-PROP-TECH-041, PINS-PROP-TECH-043</t>
  </si>
  <si>
    <t xml:space="preserve">PINS-METIER-135</t>
  </si>
  <si>
    <t xml:space="preserve">PINS-PROP-MET-036</t>
  </si>
  <si>
    <t xml:space="preserve">Demande d'acte de décès</t>
  </si>
  <si>
    <t xml:space="preserve">Citoyen / famille</t>
  </si>
  <si>
    <t xml:space="preserve">PINS-PROP-TECH-042, PINS-PROP-TECH-043</t>
  </si>
  <si>
    <t xml:space="preserve">PINS-METIER-136</t>
  </si>
  <si>
    <t xml:space="preserve">PINS-PROP-MET-037</t>
  </si>
  <si>
    <t xml:space="preserve">Déclaration de naissance en ligne</t>
  </si>
  <si>
    <t xml:space="preserve">INST-DGEC, INST-COMMUNES, INST-MSAS</t>
  </si>
  <si>
    <t xml:space="preserve">Déclaration en ligne ou en mairie, dans les 30 jours</t>
  </si>
  <si>
    <t xml:space="preserve">PINS-METIER-137</t>
  </si>
  <si>
    <t xml:space="preserve">PINS-PROP-MET-038</t>
  </si>
  <si>
    <t xml:space="preserve">Reconnaissance de paternité</t>
  </si>
  <si>
    <t xml:space="preserve">INST-DGEC, INST-MJ-DACS</t>
  </si>
  <si>
    <t xml:space="preserve">Déclaration en mairie, transcription</t>
  </si>
  <si>
    <t xml:space="preserve">PINS-METIER-138</t>
  </si>
  <si>
    <t xml:space="preserve">PINS-PROP-MET-039</t>
  </si>
  <si>
    <t xml:space="preserve">Demande de Carte Nationale d'Identité (CNI)</t>
  </si>
  <si>
    <t xml:space="preserve">Identité et citoyenneté</t>
  </si>
  <si>
    <t xml:space="preserve">INST-DAF</t>
  </si>
  <si>
    <t xml:space="preserve">INST-DAF, INST-DGEC, INST-POLICE</t>
  </si>
  <si>
    <t xml:space="preserve">Loi sur l'état civil et la CNI</t>
  </si>
  <si>
    <t xml:space="preserve">Demande, enrôlement biométrique, production de la carte</t>
  </si>
  <si>
    <t xml:space="preserve">REG-NIN, REG-REGEC</t>
  </si>
  <si>
    <t xml:space="preserve">PINS-PROP-TECH-040, PINS-PROP-TECH-043, PINS-PROP-TECH-044</t>
  </si>
  <si>
    <t xml:space="preserve">IDENTITE_NUMERIQUE</t>
  </si>
  <si>
    <t xml:space="preserve">PINS-METIER-139</t>
  </si>
  <si>
    <t xml:space="preserve">PINS-PROP-MET-040</t>
  </si>
  <si>
    <t xml:space="preserve">Demande de passeport biométrique</t>
  </si>
  <si>
    <t xml:space="preserve">INST-POLICE</t>
  </si>
  <si>
    <t xml:space="preserve">INST-POLICE, INST-DAF, INST-DGEC</t>
  </si>
  <si>
    <t xml:space="preserve">Décret sur le passeport</t>
  </si>
  <si>
    <t xml:space="preserve">Prise de rendez-vous, enrôlement, retrait</t>
  </si>
  <si>
    <t xml:space="preserve">PINS-PROP-TECH-043, PINS-PROP-TECH-044</t>
  </si>
  <si>
    <t xml:space="preserve">PINS-METIER-140</t>
  </si>
  <si>
    <t xml:space="preserve">PINS-PROP-MET-041</t>
  </si>
  <si>
    <t xml:space="preserve">Demande de certificat de nationalité</t>
  </si>
  <si>
    <t xml:space="preserve">INST-MJ-DACS</t>
  </si>
  <si>
    <t xml:space="preserve">INST-MJ-DACS, INST-DGEC</t>
  </si>
  <si>
    <t xml:space="preserve">Code de la nationalité</t>
  </si>
  <si>
    <t xml:space="preserve">Demande au tribunal, instruction, certificat</t>
  </si>
  <si>
    <t xml:space="preserve">PINS-METIER-141</t>
  </si>
  <si>
    <t xml:space="preserve">PINS-PROP-MET-042</t>
  </si>
  <si>
    <t xml:space="preserve">Demande d'extrait de casier judiciaire (B3)</t>
  </si>
  <si>
    <t xml:space="preserve">Justice</t>
  </si>
  <si>
    <t xml:space="preserve">INST-MJ-CASIER</t>
  </si>
  <si>
    <t xml:space="preserve">Code de procédure pénale</t>
  </si>
  <si>
    <t xml:space="preserve">Demande en ligne ou en présentiel, retrait</t>
  </si>
  <si>
    <t xml:space="preserve">REG-CASIER</t>
  </si>
  <si>
    <t xml:space="preserve">PINS-PROP-TECH-010</t>
  </si>
  <si>
    <t xml:space="preserve">PINS-METIER-142</t>
  </si>
  <si>
    <t xml:space="preserve">PINS-PROP-MET-043</t>
  </si>
  <si>
    <t xml:space="preserve">Demande de certificat de résidence</t>
  </si>
  <si>
    <t xml:space="preserve">INST-COMMUNES</t>
  </si>
  <si>
    <t xml:space="preserve">INST-COMMUNES, INST-POLICE</t>
  </si>
  <si>
    <t xml:space="preserve">Décret sur les certificats administratifs</t>
  </si>
  <si>
    <t xml:space="preserve">Demande à la mairie, attestation</t>
  </si>
  <si>
    <t xml:space="preserve">PINS-PROP-TECH-043</t>
  </si>
  <si>
    <t xml:space="preserve">PINS-METIER-143</t>
  </si>
  <si>
    <t xml:space="preserve">PINS-PROP-MET-044</t>
  </si>
  <si>
    <t xml:space="preserve">Inscription à la Couverture Maladie Universelle (CMU)</t>
  </si>
  <si>
    <t xml:space="preserve">Santé</t>
  </si>
  <si>
    <t xml:space="preserve">Citoyen / ménage</t>
  </si>
  <si>
    <t xml:space="preserve">INST-CMU</t>
  </si>
  <si>
    <t xml:space="preserve">INST-CMU, INST-DGPSN, INST-MSAS</t>
  </si>
  <si>
    <t xml:space="preserve">Loi instituant la CMU</t>
  </si>
  <si>
    <t xml:space="preserve">Inscription en ligne ou auprès des mutuelles, attribution carte</t>
  </si>
  <si>
    <t xml:space="preserve">REG-CMU, REG-RNU, REG-NIN</t>
  </si>
  <si>
    <t xml:space="preserve">PINS-PROP-TECH-050, PINS-PROP-TECH-090</t>
  </si>
  <si>
    <t xml:space="preserve">SANTE_NUMERIQUE</t>
  </si>
  <si>
    <t xml:space="preserve">PINS-METIER-144</t>
  </si>
  <si>
    <t xml:space="preserve">PINS-PROP-MET-045</t>
  </si>
  <si>
    <t xml:space="preserve">Demande d'évacuation sanitaire</t>
  </si>
  <si>
    <t xml:space="preserve">Patient</t>
  </si>
  <si>
    <t xml:space="preserve">INST-MSAS</t>
  </si>
  <si>
    <t xml:space="preserve">INST-MSAS, INST-MEN-ETR</t>
  </si>
  <si>
    <t xml:space="preserve">Décret sur les évacuations sanitaires</t>
  </si>
  <si>
    <t xml:space="preserve">Dossier médical, commission médicale, prise en charge</t>
  </si>
  <si>
    <t xml:space="preserve">REG-CMU</t>
  </si>
  <si>
    <t xml:space="preserve">PINS-PROP-TECH-091</t>
  </si>
  <si>
    <t xml:space="preserve">PINS-METIER-145</t>
  </si>
  <si>
    <t xml:space="preserve">PINS-PROP-MET-046</t>
  </si>
  <si>
    <t xml:space="preserve">Orientation et inscription universitaire (CAMPUSEN)</t>
  </si>
  <si>
    <t xml:space="preserve">Éducation</t>
  </si>
  <si>
    <t xml:space="preserve">Bachelier</t>
  </si>
  <si>
    <t xml:space="preserve">INST-CAMPUSEN</t>
  </si>
  <si>
    <t xml:space="preserve">INST-CAMPUSEN, INST-MESRI, INST-DGES</t>
  </si>
  <si>
    <t xml:space="preserve">Décret sur l'orientation universitaire</t>
  </si>
  <si>
    <t xml:space="preserve">Pré-inscription, vœux, affectation, inscription définitive</t>
  </si>
  <si>
    <t xml:space="preserve">Selon calendrier</t>
  </si>
  <si>
    <t xml:space="preserve">REG-CAMPUSEN, REG-DIPLOMES</t>
  </si>
  <si>
    <t xml:space="preserve">PINS-PROP-TECH-080, PINS-PROP-TECH-081</t>
  </si>
  <si>
    <t xml:space="preserve">EDUCATION</t>
  </si>
  <si>
    <t xml:space="preserve">PINS-METIER-146</t>
  </si>
  <si>
    <t xml:space="preserve">PINS-PROP-MET-047</t>
  </si>
  <si>
    <t xml:space="preserve">Demande de bourse universitaire</t>
  </si>
  <si>
    <t xml:space="preserve">Étudiant</t>
  </si>
  <si>
    <t xml:space="preserve">INST-DGES</t>
  </si>
  <si>
    <t xml:space="preserve">INST-DGES, INST-CAMPUSEN, INST-DGCPT</t>
  </si>
  <si>
    <t xml:space="preserve">Décret sur les bourses</t>
  </si>
  <si>
    <t xml:space="preserve">Demande, instruction, attribution, paiement</t>
  </si>
  <si>
    <t xml:space="preserve">REG-CAMPUSEN, REG-RNU</t>
  </si>
  <si>
    <t xml:space="preserve">PINS-PROP-TECH-080, PINS-PROP-TECH-082, PINS-PROP-TECH-110</t>
  </si>
  <si>
    <t xml:space="preserve">PINS-METIER-147</t>
  </si>
  <si>
    <t xml:space="preserve">PINS-PROP-MET-048</t>
  </si>
  <si>
    <t xml:space="preserve">Demande d'équivalence de diplôme</t>
  </si>
  <si>
    <t xml:space="preserve">Étudiant / professionnel</t>
  </si>
  <si>
    <t xml:space="preserve">INST-DGES, INST-MESRI</t>
  </si>
  <si>
    <t xml:space="preserve">Décret sur les équivalences</t>
  </si>
  <si>
    <t xml:space="preserve">Dossier, commission, attestation</t>
  </si>
  <si>
    <t xml:space="preserve">REG-DIPLOMES</t>
  </si>
  <si>
    <t xml:space="preserve">PINS-PROP-TECH-080</t>
  </si>
  <si>
    <t xml:space="preserve">PINS-METIER-148</t>
  </si>
  <si>
    <t xml:space="preserve">PINS-PROP-MET-049</t>
  </si>
  <si>
    <t xml:space="preserve">Demande d'attestation de diplôme</t>
  </si>
  <si>
    <t xml:space="preserve">Diplômé</t>
  </si>
  <si>
    <t xml:space="preserve">INST-MEN</t>
  </si>
  <si>
    <t xml:space="preserve">INST-MEN, INST-MESRI</t>
  </si>
  <si>
    <t xml:space="preserve">Arrêté ministériel</t>
  </si>
  <si>
    <t xml:space="preserve">Demande, vérification, attestation</t>
  </si>
  <si>
    <t xml:space="preserve">PINS-METIER-149</t>
  </si>
  <si>
    <t xml:space="preserve">PINS-PROP-MET-050</t>
  </si>
  <si>
    <t xml:space="preserve">Inscription au registre des demandeurs d'emploi (ANPEJ)</t>
  </si>
  <si>
    <t xml:space="preserve">Emploi et formation</t>
  </si>
  <si>
    <t xml:space="preserve">Demandeur d'emploi</t>
  </si>
  <si>
    <t xml:space="preserve">INST-ANPEJ</t>
  </si>
  <si>
    <t xml:space="preserve">INST-ANPEJ, INST-DGEFP</t>
  </si>
  <si>
    <t xml:space="preserve">Loi sur l'emploi</t>
  </si>
  <si>
    <t xml:space="preserve">Inscription, profilage, mise en relation</t>
  </si>
  <si>
    <t xml:space="preserve">Immédiat</t>
  </si>
  <si>
    <t xml:space="preserve">REG-EMPLOI, REG-NIN</t>
  </si>
  <si>
    <t xml:space="preserve">PINS-PROP-TECH-043, PINS-PROP-TECH-080</t>
  </si>
  <si>
    <t xml:space="preserve">EMPLOI_FORMATION</t>
  </si>
  <si>
    <t xml:space="preserve">PINS-METIER-150</t>
  </si>
  <si>
    <t xml:space="preserve">PINS-PROP-MET-051</t>
  </si>
  <si>
    <t xml:space="preserve">Demande d'attestation de non-emploi public</t>
  </si>
  <si>
    <t xml:space="preserve">INST-DGFP</t>
  </si>
  <si>
    <t xml:space="preserve">Code de la fonction publique</t>
  </si>
  <si>
    <t xml:space="preserve">PINS-METIER-151</t>
  </si>
  <si>
    <t xml:space="preserve">PINS-PROP-MET-052</t>
  </si>
  <si>
    <t xml:space="preserve">Déclaration de l'impôt sur le revenu des personnes physiques (IR)</t>
  </si>
  <si>
    <t xml:space="preserve">Fiscalité personnelle</t>
  </si>
  <si>
    <t xml:space="preserve">Télédéclaration, calcul, paiement</t>
  </si>
  <si>
    <t xml:space="preserve">REG-FISCAL, REG-NIN</t>
  </si>
  <si>
    <t xml:space="preserve">PINS-PROP-TECH-022, PINS-PROP-TECH-110</t>
  </si>
  <si>
    <t xml:space="preserve">PINS-METIER-152</t>
  </si>
  <si>
    <t xml:space="preserve">PINS-PROP-MET-053</t>
  </si>
  <si>
    <t xml:space="preserve">Demande de quitus fiscal personne physique</t>
  </si>
  <si>
    <t xml:space="preserve">PINS-PROP-TECH-021</t>
  </si>
  <si>
    <t xml:space="preserve">PINS-METIER-153</t>
  </si>
  <si>
    <t xml:space="preserve">PINS-PROP-MET-054</t>
  </si>
  <si>
    <t xml:space="preserve">Inscription au Registre National Unique (RNU)</t>
  </si>
  <si>
    <t xml:space="preserve">Protection sociale</t>
  </si>
  <si>
    <t xml:space="preserve">Ménage vulnérable</t>
  </si>
  <si>
    <t xml:space="preserve">INST-DGPSN</t>
  </si>
  <si>
    <t xml:space="preserve">INST-DGPSN, INST-COMMUNES</t>
  </si>
  <si>
    <t xml:space="preserve">Décret RNU</t>
  </si>
  <si>
    <t xml:space="preserve">Enquête sociale, scoring, inscription</t>
  </si>
  <si>
    <t xml:space="preserve">REG-RNU, REG-NIN</t>
  </si>
  <si>
    <t xml:space="preserve">PINS-PROP-TECH-043, PINS-PROP-TECH-052</t>
  </si>
  <si>
    <t xml:space="preserve">PINS-METIER-154</t>
  </si>
  <si>
    <t xml:space="preserve">PINS-PROP-MET-055</t>
  </si>
  <si>
    <t xml:space="preserve">Demande de bourse de sécurité familiale</t>
  </si>
  <si>
    <t xml:space="preserve">Ménage RNU</t>
  </si>
  <si>
    <t xml:space="preserve">INST-DGPSN, INST-DGCPT</t>
  </si>
  <si>
    <t xml:space="preserve">Décret BSF</t>
  </si>
  <si>
    <t xml:space="preserve">Inscription RNU préalable, éligibilité, paiement</t>
  </si>
  <si>
    <t xml:space="preserve">REG-RNU</t>
  </si>
  <si>
    <t xml:space="preserve">PINS-PROP-TECH-050, PINS-PROP-TECH-051, PINS-PROP-TECH-110</t>
  </si>
  <si>
    <t xml:space="preserve">PINS-METIER-155</t>
  </si>
  <si>
    <t xml:space="preserve">PINS-PROP-MET-056</t>
  </si>
  <si>
    <t xml:space="preserve">Demande de carte d'égalité des chances (handicap)</t>
  </si>
  <si>
    <t xml:space="preserve">Personne en situation de handicap</t>
  </si>
  <si>
    <t xml:space="preserve">INST-DGPSN, INST-MSAS</t>
  </si>
  <si>
    <t xml:space="preserve">Loi d'orientation sociale</t>
  </si>
  <si>
    <t xml:space="preserve">Évaluation médicale, commission, attribution</t>
  </si>
  <si>
    <t xml:space="preserve">PINS-PROP-TECH-050, PINS-PROP-TECH-043</t>
  </si>
  <si>
    <t xml:space="preserve">PINS-METIER-156</t>
  </si>
  <si>
    <t xml:space="preserve">PINS-PROP-MET-057</t>
  </si>
  <si>
    <t xml:space="preserve">Demande de permis de conduire</t>
  </si>
  <si>
    <t xml:space="preserve">Transport</t>
  </si>
  <si>
    <t xml:space="preserve">INST-DTT</t>
  </si>
  <si>
    <t xml:space="preserve">INST-DTT, INST-POLICE</t>
  </si>
  <si>
    <t xml:space="preserve">Code de la route</t>
  </si>
  <si>
    <t xml:space="preserve">Examen théorique, examen pratique, délivrance</t>
  </si>
  <si>
    <t xml:space="preserve">REG-PERMIS, REG-NIN</t>
  </si>
  <si>
    <t xml:space="preserve">PINS-PROP-TECH-043, PINS-PROP-TECH-100</t>
  </si>
  <si>
    <t xml:space="preserve">PINS-METIER-157</t>
  </si>
  <si>
    <t xml:space="preserve">PINS-PROP-MET-058</t>
  </si>
  <si>
    <t xml:space="preserve">Immatriculation d'un véhicule (carte grise)</t>
  </si>
  <si>
    <t xml:space="preserve">Citoyen / entreprise</t>
  </si>
  <si>
    <t xml:space="preserve">INST-DTT, INST-DGD, INST-DGID</t>
  </si>
  <si>
    <t xml:space="preserve">Code de la route, code des douanes</t>
  </si>
  <si>
    <t xml:space="preserve">Dédouanement, paiement vignette, immatriculation</t>
  </si>
  <si>
    <t xml:space="preserve">REG-VEHICULES, REG-DOUANE</t>
  </si>
  <si>
    <t xml:space="preserve">PINS-PROP-TECH-060, PINS-PROP-TECH-101, PINS-PROP-TECH-110</t>
  </si>
  <si>
    <t xml:space="preserve">PINS-METIER-158</t>
  </si>
  <si>
    <t xml:space="preserve">PINS-PROP-MET-059</t>
  </si>
  <si>
    <t xml:space="preserve">Visite technique de véhicule</t>
  </si>
  <si>
    <t xml:space="preserve">INST-CCVA</t>
  </si>
  <si>
    <t xml:space="preserve">INST-CCVA, INST-DTT</t>
  </si>
  <si>
    <t xml:space="preserve">Prise de rendez-vous, contrôle, vignette</t>
  </si>
  <si>
    <t xml:space="preserve">Selon RDV</t>
  </si>
  <si>
    <t xml:space="preserve">REG-VEHICULES</t>
  </si>
  <si>
    <t xml:space="preserve">PINS-PROP-TECH-101, PINS-PROP-TECH-102</t>
  </si>
  <si>
    <t xml:space="preserve">PINS-METIER-159</t>
  </si>
  <si>
    <t xml:space="preserve">PINS-PROP-MET-060</t>
  </si>
  <si>
    <t xml:space="preserve">Demande de logement social SN-HLM</t>
  </si>
  <si>
    <t xml:space="preserve">Logement</t>
  </si>
  <si>
    <t xml:space="preserve">Citoyen / salarié</t>
  </si>
  <si>
    <t xml:space="preserve">INST-SNHLM</t>
  </si>
  <si>
    <t xml:space="preserve">INST-SNHLM, INST-MUH, INST-DGCPT</t>
  </si>
  <si>
    <t xml:space="preserve">Décret SN-HLM</t>
  </si>
  <si>
    <t xml:space="preserve">Inscription, instruction, attribution</t>
  </si>
  <si>
    <t xml:space="preserve">PINS-PROP-TECH-043, PINS-PROP-TECH-050</t>
  </si>
  <si>
    <t xml:space="preserve">PINS-METIER-160</t>
  </si>
  <si>
    <t xml:space="preserve">PINS-PROP-MET-061</t>
  </si>
  <si>
    <t xml:space="preserve">Demande de titre foncier (immatriculation foncière)</t>
  </si>
  <si>
    <t xml:space="preserve">Code domanial</t>
  </si>
  <si>
    <t xml:space="preserve">Bornage, publicité foncière, immatriculation</t>
  </si>
  <si>
    <t xml:space="preserve">180 jours</t>
  </si>
  <si>
    <t xml:space="preserve">REG-TITRES, REG-CADASTRE</t>
  </si>
  <si>
    <t xml:space="preserve">PINS-METIER-161</t>
  </si>
  <si>
    <t xml:space="preserve">PINS-PROP-MET-062</t>
  </si>
  <si>
    <t xml:space="preserve">Permis de construire individuel</t>
  </si>
  <si>
    <t xml:space="preserve">INST-COMMUNES, INST-MUH</t>
  </si>
  <si>
    <t xml:space="preserve">Dossier, instruction, autorisation</t>
  </si>
  <si>
    <t xml:space="preserve">REG-CADASTRE</t>
  </si>
  <si>
    <t xml:space="preserve">PINS-METIER-162</t>
  </si>
  <si>
    <t xml:space="preserve">PINS-PROP-MET-063</t>
  </si>
  <si>
    <t xml:space="preserve">Demande de visa (étranger entrant)</t>
  </si>
  <si>
    <t xml:space="preserve">International</t>
  </si>
  <si>
    <t xml:space="preserve">Étranger</t>
  </si>
  <si>
    <t xml:space="preserve">INST-MEN-ETR</t>
  </si>
  <si>
    <t xml:space="preserve">INST-MEN-ETR, INST-POLICE</t>
  </si>
  <si>
    <t xml:space="preserve">Loi sur les étrangers</t>
  </si>
  <si>
    <t xml:space="preserve">Demande en ligne ou en consulat, instruction, délivrance</t>
  </si>
  <si>
    <t xml:space="preserve">PINS-METIER-163</t>
  </si>
  <si>
    <t xml:space="preserve">PINS-PROP-MET-064</t>
  </si>
  <si>
    <t xml:space="preserve">Carte d'identité d'étranger / titre de séjour</t>
  </si>
  <si>
    <t xml:space="preserve">Résident étranger</t>
  </si>
  <si>
    <t xml:space="preserve">INST-POLICE, INST-DAF</t>
  </si>
  <si>
    <t xml:space="preserve">Dossier, instruction, attribution</t>
  </si>
  <si>
    <t xml:space="preserve">REG-NIN</t>
  </si>
  <si>
    <t xml:space="preserve">PINS-PROP-TECH-044</t>
  </si>
  <si>
    <t xml:space="preserve">PINS-METIER-164</t>
  </si>
  <si>
    <t xml:space="preserve">PINS-PROP-MET-065</t>
  </si>
  <si>
    <t xml:space="preserve">Authentification SénégalConnect (FranceConnect-like)</t>
  </si>
  <si>
    <t xml:space="preserve">Identité numérique</t>
  </si>
  <si>
    <t xml:space="preserve">INST-DGNUM</t>
  </si>
  <si>
    <t xml:space="preserve">INST-DGNUM, INST-DAF, INST-DGEC</t>
  </si>
  <si>
    <t xml:space="preserve">Décret identité numérique</t>
  </si>
  <si>
    <t xml:space="preserve">Création identifiant numérique, fédération d'identité, SSO sur services publics</t>
  </si>
  <si>
    <t xml:space="preserve">REG-EID, REG-NIN, REG-REGEC</t>
  </si>
  <si>
    <t xml:space="preserve">PINS-PROP-TECH-130, PINS-PROP-TECH-131</t>
  </si>
  <si>
    <t xml:space="preserve">PINS-METIER-165</t>
  </si>
  <si>
    <t xml:space="preserve">PINS-PROP-MET-066</t>
  </si>
  <si>
    <t xml:space="preserve">Demande de NINEA</t>
  </si>
  <si>
    <t xml:space="preserve">Démarche scrapée depuis e-senegal.sn (à instruire par l'institution coordinatrice).</t>
  </si>
  <si>
    <t xml:space="preserve">SCRAPING_ESENEGAL</t>
  </si>
  <si>
    <t xml:space="preserve">PINS-METIER-066</t>
  </si>
  <si>
    <t xml:space="preserve">esenegal_scraping</t>
  </si>
  <si>
    <t xml:space="preserve">PINS-PROP-MET-067</t>
  </si>
  <si>
    <t xml:space="preserve">Faire le dépôt légal d'un imprimé</t>
  </si>
  <si>
    <t xml:space="preserve">Services citoyens</t>
  </si>
  <si>
    <t xml:space="preserve">INST-MCT</t>
  </si>
  <si>
    <t xml:space="preserve">PINS-METIER-067</t>
  </si>
  <si>
    <t xml:space="preserve">PINS-PROP-MET-068</t>
  </si>
  <si>
    <t xml:space="preserve">Demander l'enregistrement d'un acte civil</t>
  </si>
  <si>
    <t xml:space="preserve">État civil et justice</t>
  </si>
  <si>
    <t xml:space="preserve">PINS-METIER-068</t>
  </si>
  <si>
    <t xml:space="preserve">PINS-PROP-MET-069</t>
  </si>
  <si>
    <t xml:space="preserve">Demander l'autorisation d'ouvrir un cabinet médical à titre privé</t>
  </si>
  <si>
    <t xml:space="preserve">PINS-METIER-069</t>
  </si>
  <si>
    <t xml:space="preserve">PINS-PROP-MET-070</t>
  </si>
  <si>
    <t xml:space="preserve">Demander un certificat de salubrité</t>
  </si>
  <si>
    <t xml:space="preserve">PINS-METIER-070</t>
  </si>
  <si>
    <t xml:space="preserve">PINS-PROP-MET-071</t>
  </si>
  <si>
    <t xml:space="preserve">Demander l'autorisation de mise sur le marché d'un médicament (AMM)</t>
  </si>
  <si>
    <t xml:space="preserve">PINS-METIER-071</t>
  </si>
  <si>
    <t xml:space="preserve">PINS-PROP-MET-072</t>
  </si>
  <si>
    <t xml:space="preserve">Demander un certificat de visite médicale périodique</t>
  </si>
  <si>
    <t xml:space="preserve">PINS-METIER-072</t>
  </si>
  <si>
    <t xml:space="preserve">PINS-PROP-MET-073</t>
  </si>
  <si>
    <t xml:space="preserve">Se présenter au concours d'accès aux professions libérales du barreau, du notariat et des huissiers de justice</t>
  </si>
  <si>
    <t xml:space="preserve">PINS-METIER-073</t>
  </si>
  <si>
    <t xml:space="preserve">PINS-PROP-MET-074</t>
  </si>
  <si>
    <t xml:space="preserve">Demander une mutation d'une autorisation de transport routier</t>
  </si>
  <si>
    <t xml:space="preserve">PINS-METIER-074</t>
  </si>
  <si>
    <t xml:space="preserve">PINS-PROP-MET-075</t>
  </si>
  <si>
    <t xml:space="preserve">Effectuer la réception par type d'un véhicule</t>
  </si>
  <si>
    <t xml:space="preserve">PINS-METIER-075</t>
  </si>
  <si>
    <t xml:space="preserve">PINS-PROP-MET-076</t>
  </si>
  <si>
    <t xml:space="preserve">autorisation d'ouvrir une auto-école</t>
  </si>
  <si>
    <t xml:space="preserve">PINS-METIER-076</t>
  </si>
  <si>
    <t xml:space="preserve">PINS-PROP-MET-077</t>
  </si>
  <si>
    <t xml:space="preserve">Passer l'Examen de moniteur d'auto-école</t>
  </si>
  <si>
    <t xml:space="preserve">PINS-METIER-077</t>
  </si>
  <si>
    <t xml:space="preserve">PINS-PROP-MET-078</t>
  </si>
  <si>
    <t xml:space="preserve">Comment procéder à l'expulsion d'un locataire</t>
  </si>
  <si>
    <t xml:space="preserve">PINS-METIER-078</t>
  </si>
  <si>
    <t xml:space="preserve">PINS-PROP-MET-079</t>
  </si>
  <si>
    <t xml:space="preserve">Demande de création d'un dépôt privé de médicaments</t>
  </si>
  <si>
    <t xml:space="preserve">PINS-METIER-079</t>
  </si>
  <si>
    <t xml:space="preserve">PINS-PROP-MET-080</t>
  </si>
  <si>
    <t xml:space="preserve">Signaler à l'autorité de régulation des télécommunications et des postes le brouillage du téléphone pour sa cessation</t>
  </si>
  <si>
    <t xml:space="preserve">Cybersécurité et télécoms</t>
  </si>
  <si>
    <t xml:space="preserve">CYBERSECURITE</t>
  </si>
  <si>
    <t xml:space="preserve">PINS-METIER-080</t>
  </si>
  <si>
    <t xml:space="preserve">PINS-PROP-MET-081</t>
  </si>
  <si>
    <t xml:space="preserve">Demander le paiement d'une indemnité de sujétion pour un agent de l'Etat</t>
  </si>
  <si>
    <t xml:space="preserve">PINS-METIER-081</t>
  </si>
  <si>
    <t xml:space="preserve">PINS-PROP-MET-082</t>
  </si>
  <si>
    <t xml:space="preserve">Demander un suivi sanitaire et social d'un enfant ou d'une femme en état de grossesse à la Caisse de sécurité sociale</t>
  </si>
  <si>
    <t xml:space="preserve">PINS-METIER-082</t>
  </si>
  <si>
    <t xml:space="preserve">PINS-PROP-MET-083</t>
  </si>
  <si>
    <t xml:space="preserve">Demander un agrément pour l'activité de collecte des huiles usagées</t>
  </si>
  <si>
    <t xml:space="preserve">INST-MEDD</t>
  </si>
  <si>
    <t xml:space="preserve">PINS-METIER-083</t>
  </si>
  <si>
    <t xml:space="preserve">PINS-PROP-MET-084</t>
  </si>
  <si>
    <t xml:space="preserve">Demander un agrément pour l'élimination des huiles usagées</t>
  </si>
  <si>
    <t xml:space="preserve">PINS-METIER-084</t>
  </si>
  <si>
    <t xml:space="preserve">PINS-PROP-MET-085</t>
  </si>
  <si>
    <t xml:space="preserve">Demander une autorisation d'importation de produits chimiques</t>
  </si>
  <si>
    <t xml:space="preserve">Fiscalité, douane et finances publiques</t>
  </si>
  <si>
    <t xml:space="preserve">PINS-METIER-085</t>
  </si>
  <si>
    <t xml:space="preserve">PINS-PROP-MET-086</t>
  </si>
  <si>
    <t xml:space="preserve">Demander un agrément pour exercer des activités d'étude d'impact sur l'environnement</t>
  </si>
  <si>
    <t xml:space="preserve">PINS-METIER-086</t>
  </si>
  <si>
    <t xml:space="preserve">PINS-PROP-MET-087</t>
  </si>
  <si>
    <t xml:space="preserve">Demander l'autorisation d'exploiter une installation classée pour la protection de l'environnement (ICPE)</t>
  </si>
  <si>
    <t xml:space="preserve">PINS-METIER-087</t>
  </si>
  <si>
    <t xml:space="preserve">PINS-PROP-MET-088</t>
  </si>
  <si>
    <t xml:space="preserve">Demander un numéro ISSN (numéro international normalisé des publications en série)</t>
  </si>
  <si>
    <t xml:space="preserve">PINS-METIER-088</t>
  </si>
  <si>
    <t xml:space="preserve">PINS-PROP-MET-089</t>
  </si>
  <si>
    <t xml:space="preserve">S'inscrire au registre des navires de pêche industrielle</t>
  </si>
  <si>
    <t xml:space="preserve">PINS-METIER-089</t>
  </si>
  <si>
    <t xml:space="preserve">PINS-PROP-MET-090</t>
  </si>
  <si>
    <t xml:space="preserve">Demander à obtenir un document d'identification de marin</t>
  </si>
  <si>
    <t xml:space="preserve">PINS-METIER-090</t>
  </si>
  <si>
    <t xml:space="preserve">PINS-PROP-MET-091</t>
  </si>
  <si>
    <t xml:space="preserve">Demander une attestation de non retard de paiement de salaires</t>
  </si>
  <si>
    <t xml:space="preserve">PINS-METIER-091</t>
  </si>
  <si>
    <t xml:space="preserve">PINS-PROP-MET-092</t>
  </si>
  <si>
    <t xml:space="preserve">Demander une attestation de quotient familial</t>
  </si>
  <si>
    <t xml:space="preserve">PINS-METIER-092</t>
  </si>
  <si>
    <t xml:space="preserve">PINS-PROP-MET-093</t>
  </si>
  <si>
    <t xml:space="preserve">Demander un remboursement d'impôts indirects</t>
  </si>
  <si>
    <t xml:space="preserve">PINS-METIER-093</t>
  </si>
  <si>
    <t xml:space="preserve">PINS-PROP-MET-094</t>
  </si>
  <si>
    <t xml:space="preserve">Demander un remboursement d'impôts directs</t>
  </si>
  <si>
    <t xml:space="preserve">PINS-METIER-094</t>
  </si>
  <si>
    <t xml:space="preserve">PINS-PROP-MET-095</t>
  </si>
  <si>
    <t xml:space="preserve">Reverser les retenues à la source pour les prestations de services</t>
  </si>
  <si>
    <t xml:space="preserve">PINS-METIER-095</t>
  </si>
  <si>
    <t xml:space="preserve">PINS-PROP-MET-096</t>
  </si>
  <si>
    <t xml:space="preserve">Demander l'autorisation d'ouverture d'une alimentation générale</t>
  </si>
  <si>
    <t xml:space="preserve">PINS-METIER-096</t>
  </si>
  <si>
    <t xml:space="preserve">PINS-PROP-MET-097</t>
  </si>
  <si>
    <t xml:space="preserve">Déclarer des sommes versées aux non salariés de l'entreprise</t>
  </si>
  <si>
    <t xml:space="preserve">PINS-METIER-097</t>
  </si>
  <si>
    <t xml:space="preserve">PINS-PROP-MET-098</t>
  </si>
  <si>
    <t xml:space="preserve">Demander l'enregistrement d'une marque en vue de l'obtention d'un titre de protection</t>
  </si>
  <si>
    <t xml:space="preserve">PINS-METIER-098</t>
  </si>
  <si>
    <t xml:space="preserve">PINS-PROP-MET-099</t>
  </si>
  <si>
    <t xml:space="preserve">Demander l'immatriculation d'un employeur à la Caisse de sécurité sociale</t>
  </si>
  <si>
    <t xml:space="preserve">PINS-METIER-099</t>
  </si>
  <si>
    <t xml:space="preserve">PINS-PROP-MET-100</t>
  </si>
  <si>
    <t xml:space="preserve">Faire une déclaration pour la contribution globale unique (CGU)</t>
  </si>
  <si>
    <t xml:space="preserve">PINS-METIER-100</t>
  </si>
  <si>
    <t xml:space="preserve">PINS-PROP-MET-101</t>
  </si>
  <si>
    <t xml:space="preserve">Payer l'impôt sur les sociétés</t>
  </si>
  <si>
    <t xml:space="preserve">PINS-PROP-MET-102</t>
  </si>
  <si>
    <t xml:space="preserve">Faire une déclaration de revenus fonciers</t>
  </si>
  <si>
    <t xml:space="preserve">Foncier et logement</t>
  </si>
  <si>
    <t xml:space="preserve">PINS-PROP-MET-103</t>
  </si>
  <si>
    <t xml:space="preserve">Demander à enregistrer un brevet d'invention</t>
  </si>
  <si>
    <t xml:space="preserve">PINS-PROP-MET-104</t>
  </si>
  <si>
    <t xml:space="preserve">Payer ses cotisations d'employeur à la Caisse de sécurité sociale</t>
  </si>
  <si>
    <t xml:space="preserve">PINS-PROP-MET-105</t>
  </si>
  <si>
    <t xml:space="preserve">Créer une société à responsabilité limitée (SARL) ou une société anonyme (SA)</t>
  </si>
  <si>
    <t xml:space="preserve">PINS-PROP-MET-106</t>
  </si>
  <si>
    <t xml:space="preserve">Créer une société en nom collectif (SNC) ou une société en commandite simple (SCS)</t>
  </si>
  <si>
    <t xml:space="preserve">PINS-PROP-MET-107</t>
  </si>
  <si>
    <t xml:space="preserve">Demander une autorisation d'ouverture d'une officine privée de pharmacie</t>
  </si>
  <si>
    <t xml:space="preserve">PINS-PROP-MET-108</t>
  </si>
  <si>
    <t xml:space="preserve">S'acquitter de la taxe publicitaire</t>
  </si>
  <si>
    <t xml:space="preserve">PINS-PROP-MET-109</t>
  </si>
  <si>
    <t xml:space="preserve">Demander l'autorisation d'implanter d'un mobilier urbain</t>
  </si>
  <si>
    <t xml:space="preserve">PINS-PROP-MET-110</t>
  </si>
  <si>
    <t xml:space="preserve">Demander l'instauration d'une zone d'interdiction de stationnement</t>
  </si>
  <si>
    <t xml:space="preserve">PINS-PROP-MET-111</t>
  </si>
  <si>
    <t xml:space="preserve">Demander l'instauration d'une zone de stationnement réservée</t>
  </si>
  <si>
    <t xml:space="preserve">PINS-PROP-MET-112</t>
  </si>
  <si>
    <t xml:space="preserve">S'acquitter de l'imposition à la contribution forfaitaire à la charge des employeurs (CFCE)</t>
  </si>
  <si>
    <t xml:space="preserve">PINS-PROP-MET-113</t>
  </si>
  <si>
    <t xml:space="preserve">Déclarer les mouvements de personnel à l'Institution de prévoyance retraite du Sénégal (IPRES)</t>
  </si>
  <si>
    <t xml:space="preserve">PINS-PROP-MET-114</t>
  </si>
  <si>
    <t xml:space="preserve">Faire un versement des cotisations sociales à l'Institution de prévoyance retraite du Sénégal (IPRES)</t>
  </si>
  <si>
    <t xml:space="preserve">PINS-PROP-MET-115</t>
  </si>
  <si>
    <t xml:space="preserve">Faire un dépôt de déclarations de personnel à l'Institution de prévoyance retraite du Sénégal (IPRES)</t>
  </si>
  <si>
    <t xml:space="preserve">PINS-PROP-MET-116</t>
  </si>
  <si>
    <t xml:space="preserve">Déclarer un employé de maison à l'Institution de prévoyance retraite du Sénégal (IPRES)</t>
  </si>
  <si>
    <t xml:space="preserve">PINS-PROP-MET-117</t>
  </si>
  <si>
    <t xml:space="preserve">Demander l'adhésion d'une entreprise à l'Institution de prévoyance retraite du Sénégal (IPRES)</t>
  </si>
  <si>
    <t xml:space="preserve">PINS-PROP-MET-118</t>
  </si>
  <si>
    <t xml:space="preserve">Demander un extrait de plan cadastral certifié</t>
  </si>
  <si>
    <t xml:space="preserve">PINS-PROP-MET-119</t>
  </si>
  <si>
    <t xml:space="preserve">Demander une remise gracieuse d'impôt</t>
  </si>
  <si>
    <t xml:space="preserve">PINS-PROP-MET-120</t>
  </si>
  <si>
    <t xml:space="preserve">S'acquitter des obligations et paiements de la contribution des patentes</t>
  </si>
  <si>
    <t xml:space="preserve">PINS-PROP-MET-121</t>
  </si>
  <si>
    <t xml:space="preserve">Demander l'assiette de l'impôt sur le foncier bâti, le foncier non bâti, la contribution globale unique (CGU), la taxe d'enlèvement des ordures ménagères (TEOM) et les autres impôts directs</t>
  </si>
  <si>
    <t xml:space="preserve">PINS-PROP-MET-122</t>
  </si>
  <si>
    <t xml:space="preserve">Demander un remboursement d'impôts</t>
  </si>
  <si>
    <t xml:space="preserve">PINS-PROP-MET-123</t>
  </si>
  <si>
    <t xml:space="preserve">Demander l'établissement d'un titre foncier (mutation ou morcellement)</t>
  </si>
  <si>
    <t xml:space="preserve">PINS-PROP-MET-124</t>
  </si>
  <si>
    <t xml:space="preserve">Demander la transformation d'un bail (droit de superficie, autorisation) en titre foncier</t>
  </si>
  <si>
    <t xml:space="preserve">PINS-PROP-MET-125</t>
  </si>
  <si>
    <t xml:space="preserve">Demander une immatriculation au Centre des grandes entreprises (CGE)</t>
  </si>
  <si>
    <t xml:space="preserve">PINS-PROP-MET-126</t>
  </si>
  <si>
    <t xml:space="preserve">Obtenir un visa en exonération de la taxe sur la valeur ajoutée (TVA)</t>
  </si>
  <si>
    <t xml:space="preserve">PINS-PROP-MET-127</t>
  </si>
  <si>
    <t xml:space="preserve">Payer une taxe auprès du receveur des domaines</t>
  </si>
  <si>
    <t xml:space="preserve">PINS-PROP-MET-128</t>
  </si>
  <si>
    <t xml:space="preserve">Demander une attestation de non condamnation</t>
  </si>
  <si>
    <t xml:space="preserve">PINS-PROP-MET-129</t>
  </si>
  <si>
    <t xml:space="preserve">Demander une attestation de chômage</t>
  </si>
  <si>
    <t xml:space="preserve">Emploi</t>
  </si>
  <si>
    <t xml:space="preserve">PINS-PROP-MET-130</t>
  </si>
  <si>
    <t xml:space="preserve">Déclarer un accident du travail ou une maladie professionnelle</t>
  </si>
  <si>
    <t xml:space="preserve">PINS-PROP-MET-131</t>
  </si>
  <si>
    <t xml:space="preserve">Demander l'approbation des statuts et du règlement intérieur d'une institution de prévoyance maladie (IPM)</t>
  </si>
  <si>
    <t xml:space="preserve">PINS-PROP-MET-132</t>
  </si>
  <si>
    <t xml:space="preserve">Demander un recours hiérarchique pour infirmer l'autorisation ou le refus de licenciement d'un délégué du personnel</t>
  </si>
  <si>
    <t xml:space="preserve">PINS-PROP-MET-133</t>
  </si>
  <si>
    <t xml:space="preserve">Demander un agrément pour l'exercice du transport routier</t>
  </si>
  <si>
    <t xml:space="preserve">PINS-PROP-MET-134</t>
  </si>
  <si>
    <t xml:space="preserve">Demander un prêt au Fonds d'impulsion de la micro-finance (FIMF)</t>
  </si>
  <si>
    <t xml:space="preserve">PINS-PROP-MET-135</t>
  </si>
  <si>
    <t xml:space="preserve">Demander un financement du Fonds national de promotion de l'entreprenariat féminin</t>
  </si>
  <si>
    <t xml:space="preserve">PINS-PROP-MET-136</t>
  </si>
  <si>
    <t xml:space="preserve">Demander un agrément des activités de contrôle technique</t>
  </si>
  <si>
    <t xml:space="preserve">PINS-PROP-MET-137</t>
  </si>
  <si>
    <t xml:space="preserve">Demander une autorisation d'infrastructures et fournisseur d'accès internet</t>
  </si>
  <si>
    <t xml:space="preserve">PINS-PROP-MET-138</t>
  </si>
  <si>
    <t xml:space="preserve">Demander une attestation d'imposition à la contribution foncière des propriétés bâties (CFBT) et à la taxe d'enlèvement des ordures ménagères (TEOM).</t>
  </si>
  <si>
    <t xml:space="preserve">PINS-PROP-MET-139</t>
  </si>
  <si>
    <t xml:space="preserve">Demander l'agrément de transporteur routier pour un étranger</t>
  </si>
  <si>
    <t xml:space="preserve">PINS-PROP-MET-140</t>
  </si>
  <si>
    <t xml:space="preserve">Demander une qualification et une classification d'une entreprise ou d'un artisan de BTP</t>
  </si>
  <si>
    <t xml:space="preserve">PINS-PROP-MET-141</t>
  </si>
  <si>
    <t xml:space="preserve">Demander une attestation de services faits au PCRPE</t>
  </si>
  <si>
    <t xml:space="preserve">INST-DGCPT</t>
  </si>
  <si>
    <t xml:space="preserve">PINS-PROP-MET-142</t>
  </si>
  <si>
    <t xml:space="preserve">Demander un agrément auprès du Projet de construction et de réhabilitation du patrimoine de l'Etat (PCRPE)</t>
  </si>
  <si>
    <t xml:space="preserve">PINS-PROP-MET-143</t>
  </si>
  <si>
    <t xml:space="preserve">Demander un certificat de qualité pour l'exportation du sel</t>
  </si>
  <si>
    <t xml:space="preserve">PINS-PROP-MET-144</t>
  </si>
  <si>
    <t xml:space="preserve">Faire une déclaration d'importation de produits alimentaires (DIPA)</t>
  </si>
  <si>
    <t xml:space="preserve">PINS-PROP-MET-145</t>
  </si>
  <si>
    <t xml:space="preserve">Demander un certificat d'origine pour l'exportation</t>
  </si>
  <si>
    <t xml:space="preserve">PINS-PROP-MET-146</t>
  </si>
  <si>
    <t xml:space="preserve">Constituer une caution de marché public</t>
  </si>
  <si>
    <t xml:space="preserve">PINS-PROP-MET-147</t>
  </si>
  <si>
    <t xml:space="preserve">Demander une prise en charge des taxes et droits de douane</t>
  </si>
  <si>
    <t xml:space="preserve">PINS-PROP-MET-148</t>
  </si>
  <si>
    <t xml:space="preserve">Demander une attestation d'imposition à la patente</t>
  </si>
  <si>
    <t xml:space="preserve">PINS-PROP-MET-149</t>
  </si>
  <si>
    <t xml:space="preserve">Demander le règlement d'un contentieux judiciaire avec l'Etat</t>
  </si>
  <si>
    <t xml:space="preserve">PINS-PROP-MET-150</t>
  </si>
  <si>
    <t xml:space="preserve">Demander un dégrèvement d'impôts</t>
  </si>
  <si>
    <t xml:space="preserve">PINS-PROP-MET-151</t>
  </si>
  <si>
    <t xml:space="preserve">Demander une attestation d'agrément pour les produits phytosanitaires</t>
  </si>
  <si>
    <t xml:space="preserve">PINS-PROP-MET-152</t>
  </si>
  <si>
    <t xml:space="preserve">Soumissionner aux marchés de l'Armée</t>
  </si>
  <si>
    <t xml:space="preserve">PINS-PROP-MET-153</t>
  </si>
  <si>
    <t xml:space="preserve">Demande d'autorisation d'ouverture et d'exploitation d'un débit de boisson</t>
  </si>
  <si>
    <t xml:space="preserve">PINS-PROP-MET-154</t>
  </si>
  <si>
    <t xml:space="preserve">Demander un quitus fiscal</t>
  </si>
  <si>
    <t xml:space="preserve">PINS-PROP-MET-155</t>
  </si>
  <si>
    <t xml:space="preserve">Demander un état de droits réels (ou une attestation du conservateur de la propriété et des droits fonciers)</t>
  </si>
  <si>
    <t xml:space="preserve">PINS-PROP-MET-156</t>
  </si>
  <si>
    <t xml:space="preserve">Demander l'autorisation de licenciement d'un délégué du personnel</t>
  </si>
  <si>
    <t xml:space="preserve">PINS-PROP-MET-157</t>
  </si>
  <si>
    <t xml:space="preserve">Payer la patente sur véhicule</t>
  </si>
  <si>
    <t xml:space="preserve">PINS-PROP-MET-158</t>
  </si>
  <si>
    <t xml:space="preserve">Remplir une déclaration de taxe sur la valeur ajoutée (TVA)</t>
  </si>
  <si>
    <t xml:space="preserve">PINS-PROP-MET-159</t>
  </si>
  <si>
    <t xml:space="preserve">Demander une autorisation de lotissement</t>
  </si>
  <si>
    <t xml:space="preserve">PINS-PROP-MET-160</t>
  </si>
  <si>
    <t xml:space="preserve">Demander une carte de commerçant</t>
  </si>
  <si>
    <t xml:space="preserve">PINS-PROP-MET-161</t>
  </si>
  <si>
    <t xml:space="preserve">Demander l'autorisation d'ouvrir un cabinet paramédical privé</t>
  </si>
  <si>
    <t xml:space="preserve">PINS-PROP-MET-162</t>
  </si>
  <si>
    <t xml:space="preserve">Demander une autorisation de transport (licence)</t>
  </si>
  <si>
    <t xml:space="preserve">PINS-PROP-MET-163</t>
  </si>
  <si>
    <t xml:space="preserve">Demander un visa d'approbation pour un contrat d'expatrié</t>
  </si>
  <si>
    <t xml:space="preserve">PINS-PROP-MET-164</t>
  </si>
  <si>
    <t xml:space="preserve">Demander la reconnaissance d'un syndicat</t>
  </si>
  <si>
    <t xml:space="preserve">INST-MEFP</t>
  </si>
  <si>
    <t xml:space="preserve">PINS-PROP-MET-165</t>
  </si>
  <si>
    <t xml:space="preserve">Demander une autorisation d'ouverture d'un atelier d'ajustage de clés</t>
  </si>
  <si>
    <t xml:space="preserve">PINS-PROP-MET-166</t>
  </si>
  <si>
    <t xml:space="preserve">Demander une imputation budgétaire</t>
  </si>
  <si>
    <t xml:space="preserve">PINS-METIER-166</t>
  </si>
  <si>
    <t xml:space="preserve">PINS-PROP-MET-167</t>
  </si>
  <si>
    <t xml:space="preserve">Demander l'agrément au statut d'entreprise franche d'exportation (EFE)</t>
  </si>
  <si>
    <t xml:space="preserve">PINS-METIER-167</t>
  </si>
  <si>
    <t xml:space="preserve">PINS-PROP-MET-168</t>
  </si>
  <si>
    <t xml:space="preserve">Attestation de non-appartenance à la Fonction Publique</t>
  </si>
  <si>
    <t xml:space="preserve">PINS-METIER-168</t>
  </si>
  <si>
    <t xml:space="preserve">PINS-PROP-MET-169</t>
  </si>
  <si>
    <t xml:space="preserve">Autorisation de visite d'un détenu dans les centres pénitenciers (juridictions pilotes)</t>
  </si>
  <si>
    <t xml:space="preserve">PINS-METIER-169</t>
  </si>
  <si>
    <t xml:space="preserve">PINS-PROP-MET-170</t>
  </si>
  <si>
    <t xml:space="preserve">Certificat de nationalité sénégalaise (juridictions pilotes)</t>
  </si>
  <si>
    <t xml:space="preserve">PINS-METIER-170</t>
  </si>
  <si>
    <t xml:space="preserve">PINS-PROP-MET-171</t>
  </si>
  <si>
    <t xml:space="preserve">Extrait du bulletin n° 3 du casier judiciaire pour les étrangers nés au Sénégal</t>
  </si>
  <si>
    <t xml:space="preserve">PINS-METIER-171</t>
  </si>
  <si>
    <t xml:space="preserve">PINS-PROP-MET-172</t>
  </si>
  <si>
    <t xml:space="preserve">Extrait de bulletin n° 3 du casier judiciaire spécial pour un sénégalais né à l'étranger</t>
  </si>
  <si>
    <t xml:space="preserve">PINS-METIER-172</t>
  </si>
  <si>
    <t xml:space="preserve">PINS-PROP-MET-173</t>
  </si>
  <si>
    <t xml:space="preserve">Demander un certificat d'urbanisme</t>
  </si>
  <si>
    <t xml:space="preserve">PINS-METIER-173</t>
  </si>
  <si>
    <t xml:space="preserve">PINS-PROP-MET-174</t>
  </si>
  <si>
    <t xml:space="preserve">Extrait de bulletin n° 3 du casier judiciaire pour un sénégalais né au Sénégal</t>
  </si>
  <si>
    <t xml:space="preserve">PINS-METIER-174</t>
  </si>
  <si>
    <t xml:space="preserve">PINS-PROP-MET-175</t>
  </si>
  <si>
    <t xml:space="preserve">Demander un certificat de perte</t>
  </si>
  <si>
    <t xml:space="preserve">PINS-METIER-175</t>
  </si>
  <si>
    <t xml:space="preserve">PINS-PROP-MET-176</t>
  </si>
  <si>
    <t xml:space="preserve">Demander un certificat de bonne vie et moeurs</t>
  </si>
  <si>
    <t xml:space="preserve">PINS-METIER-176</t>
  </si>
  <si>
    <t xml:space="preserve">PINS-PROP-MET-177</t>
  </si>
  <si>
    <t xml:space="preserve">Demander la transcription d'un acte d'état civil (acte de naissance, acte de mariage, acte de décès) auprès des services consulaires</t>
  </si>
  <si>
    <t xml:space="preserve">PINS-METIER-177</t>
  </si>
  <si>
    <t xml:space="preserve">PINS-PROP-MET-178</t>
  </si>
  <si>
    <t xml:space="preserve">Payer la caution de rapatriement</t>
  </si>
  <si>
    <t xml:space="preserve">PINS-METIER-178</t>
  </si>
  <si>
    <t xml:space="preserve">PINS-PROP-MET-179</t>
  </si>
  <si>
    <t xml:space="preserve">Demander une avance pèlerinage pour les agents de l'Etat</t>
  </si>
  <si>
    <t xml:space="preserve">PINS-METIER-179</t>
  </si>
  <si>
    <t xml:space="preserve">PINS-PROP-MET-180</t>
  </si>
  <si>
    <t xml:space="preserve">Demander l'immatriculation consulaire des Sénégalais résidant à l'étranger</t>
  </si>
  <si>
    <t xml:space="preserve">PINS-METIER-180</t>
  </si>
  <si>
    <t xml:space="preserve">PINS-PROP-MET-181</t>
  </si>
  <si>
    <t xml:space="preserve">S'acquitter du paiement de la quittance correspondant au timbre du passeport</t>
  </si>
  <si>
    <t xml:space="preserve">PINS-METIER-181</t>
  </si>
  <si>
    <t xml:space="preserve">PINS-PROP-MET-182</t>
  </si>
  <si>
    <t xml:space="preserve">Demander un visa d'entrée en Allemagne</t>
  </si>
  <si>
    <t xml:space="preserve">PINS-METIER-182</t>
  </si>
  <si>
    <t xml:space="preserve">PINS-PROP-MET-183</t>
  </si>
  <si>
    <t xml:space="preserve">Accomplir les formalités du pèlerinage à la Mecque</t>
  </si>
  <si>
    <t xml:space="preserve">PINS-METIER-183</t>
  </si>
  <si>
    <t xml:space="preserve">PINS-PROP-MET-184</t>
  </si>
  <si>
    <t xml:space="preserve">Demander un visa d'entrée aux Etats-Unis</t>
  </si>
  <si>
    <t xml:space="preserve">PINS-METIER-184</t>
  </si>
  <si>
    <t xml:space="preserve">PINS-PROP-MET-185</t>
  </si>
  <si>
    <t xml:space="preserve">Demander un visa d'entrée en France</t>
  </si>
  <si>
    <t xml:space="preserve">PINS-METIER-185</t>
  </si>
  <si>
    <t xml:space="preserve">PINS-PROP-MET-186</t>
  </si>
  <si>
    <t xml:space="preserve">Demander un carnet de vaccination international</t>
  </si>
  <si>
    <t xml:space="preserve">PINS-METIER-186</t>
  </si>
  <si>
    <t xml:space="preserve">PINS-PROP-MET-187</t>
  </si>
  <si>
    <t xml:space="preserve">Demander un regroupement familial</t>
  </si>
  <si>
    <t xml:space="preserve">PINS-METIER-187</t>
  </si>
  <si>
    <t xml:space="preserve">PINS-PROP-MET-188</t>
  </si>
  <si>
    <t xml:space="preserve">Demander un sauf-conduit</t>
  </si>
  <si>
    <t xml:space="preserve">PINS-METIER-188</t>
  </si>
  <si>
    <t xml:space="preserve">PINS-PROP-MET-189</t>
  </si>
  <si>
    <t xml:space="preserve">Demander une autorisation de sortie du territoire national pour un enseignant</t>
  </si>
  <si>
    <t xml:space="preserve">PINS-METIER-189</t>
  </si>
  <si>
    <t xml:space="preserve">PINS-PROP-MET-190</t>
  </si>
  <si>
    <t xml:space="preserve">Demander un passeport de réfugié</t>
  </si>
  <si>
    <t xml:space="preserve">PINS-METIER-190</t>
  </si>
  <si>
    <t xml:space="preserve">PINS-PROP-MET-191</t>
  </si>
  <si>
    <t xml:space="preserve">Demander un sauf-conduit étranger</t>
  </si>
  <si>
    <t xml:space="preserve">PINS-METIER-191</t>
  </si>
  <si>
    <t xml:space="preserve">PINS-PROP-MET-192</t>
  </si>
  <si>
    <t xml:space="preserve">S'acquitter des droits d'enregistrement et de timbres relatifs à un acte judiciaire ou extra-judiciaire</t>
  </si>
  <si>
    <t xml:space="preserve">PINS-METIER-192</t>
  </si>
  <si>
    <t xml:space="preserve">PINS-PROP-MET-193</t>
  </si>
  <si>
    <t xml:space="preserve">Demander une homologation du procès-verbal de partage de succession</t>
  </si>
  <si>
    <t xml:space="preserve">PINS-METIER-193</t>
  </si>
  <si>
    <t xml:space="preserve">PINS-PROP-MET-194</t>
  </si>
  <si>
    <t xml:space="preserve">Faire certifier conforme la copie d'un document</t>
  </si>
  <si>
    <t xml:space="preserve">PINS-METIER-194</t>
  </si>
  <si>
    <t xml:space="preserve">PINS-PROP-MET-195</t>
  </si>
  <si>
    <t xml:space="preserve">Faire légaliser un document</t>
  </si>
  <si>
    <t xml:space="preserve">PINS-METIER-195</t>
  </si>
  <si>
    <t xml:space="preserve">PINS-PROP-MET-196</t>
  </si>
  <si>
    <t xml:space="preserve">Demander une Authentification de diplôme ou un duplicata de diplôme</t>
  </si>
  <si>
    <t xml:space="preserve">Éducation et formation</t>
  </si>
  <si>
    <t xml:space="preserve">INST-MESRI</t>
  </si>
  <si>
    <t xml:space="preserve">PINS-METIER-196</t>
  </si>
  <si>
    <t xml:space="preserve">PINS-PROP-MET-197</t>
  </si>
  <si>
    <t xml:space="preserve">Demander une autorisation d'exercer au Sénégal en tant que médecin naturalisé sénégalais</t>
  </si>
  <si>
    <t xml:space="preserve">PINS-METIER-197</t>
  </si>
  <si>
    <t xml:space="preserve">PINS-PROP-MET-198</t>
  </si>
  <si>
    <t xml:space="preserve">Demander un certificat de grossesse</t>
  </si>
  <si>
    <t xml:space="preserve">PINS-METIER-198</t>
  </si>
  <si>
    <t xml:space="preserve">PINS-PROP-MET-199</t>
  </si>
  <si>
    <t xml:space="preserve">Demander un certificat de genre de mort</t>
  </si>
  <si>
    <t xml:space="preserve">PINS-METIER-199</t>
  </si>
  <si>
    <t xml:space="preserve">PINS-PROP-MET-200</t>
  </si>
  <si>
    <t xml:space="preserve">Demander un certificat de handicap moteur</t>
  </si>
  <si>
    <t xml:space="preserve">PINS-METIER-200</t>
  </si>
  <si>
    <t xml:space="preserve">PINS-PROP-MET-201</t>
  </si>
  <si>
    <t xml:space="preserve">Demander un certificat médical de visite et de contre-visite délivré par un médecin militaire</t>
  </si>
  <si>
    <t xml:space="preserve">PINS-METIER-201</t>
  </si>
  <si>
    <t xml:space="preserve">PINS-PROP-MET-202</t>
  </si>
  <si>
    <t xml:space="preserve">Demander un certificat médical d'accouchement</t>
  </si>
  <si>
    <t xml:space="preserve">PINS-METIER-202</t>
  </si>
  <si>
    <t xml:space="preserve">PINS-PROP-MET-203</t>
  </si>
  <si>
    <t xml:space="preserve">Demander un certificat médical pour coups et blessures</t>
  </si>
  <si>
    <t xml:space="preserve">PINS-METIER-203</t>
  </si>
  <si>
    <t xml:space="preserve">PINS-PROP-MET-204</t>
  </si>
  <si>
    <t xml:space="preserve">Se présenter au concours d'entrée à la Faculté des sciences et technologies de l'éducation et de la formation (FASTEF) niveau inspecteur de l'enseignement élémentaire et de l'éducation préscolaire</t>
  </si>
  <si>
    <t xml:space="preserve">PINS-METIER-204</t>
  </si>
  <si>
    <t xml:space="preserve">PINS-PROP-MET-205</t>
  </si>
  <si>
    <t xml:space="preserve">S'inscrire au concours d'officier de police</t>
  </si>
  <si>
    <t xml:space="preserve">PINS-METIER-205</t>
  </si>
  <si>
    <t xml:space="preserve">PINS-PROP-MET-206</t>
  </si>
  <si>
    <t xml:space="preserve">Se présenter au concours d'entrée à la Faculté des sciences et technologies de l'éducation et de la formation (FASTEF) niveau inspecteur de spécialité</t>
  </si>
  <si>
    <t xml:space="preserve">PINS-METIER-206</t>
  </si>
  <si>
    <t xml:space="preserve">PINS-PROP-MET-207</t>
  </si>
  <si>
    <t xml:space="preserve">S'inscrire au concours de contrôleur de l'administration pénitentiaire</t>
  </si>
  <si>
    <t xml:space="preserve">PINS-METIER-207</t>
  </si>
  <si>
    <t xml:space="preserve">PINS-PROP-MET-208</t>
  </si>
  <si>
    <t xml:space="preserve">S'inscrire au concours de commissaire de police</t>
  </si>
  <si>
    <t xml:space="preserve">PINS-METIER-208</t>
  </si>
  <si>
    <t xml:space="preserve">PINS-PROP-MET-209</t>
  </si>
  <si>
    <t xml:space="preserve">Se présenter au concours d'entrée à la Faculté des sciences et technologies de l'éducation et de la formation (FASTEF) niveau professeur de l'enseignement moyen (PEM)</t>
  </si>
  <si>
    <t xml:space="preserve">PINS-METIER-209</t>
  </si>
  <si>
    <t xml:space="preserve">PINS-PROP-MET-210</t>
  </si>
  <si>
    <t xml:space="preserve">S'inscrire au concours d'officier de paix de la police</t>
  </si>
  <si>
    <t xml:space="preserve">PINS-METIER-210</t>
  </si>
  <si>
    <t xml:space="preserve">PINS-PROP-MET-211</t>
  </si>
  <si>
    <t xml:space="preserve">Se présenter au concours d'entrée à la Faculté des sciences et technologies de l'éducation et de la formation (FASTEF) niveau professeur de collège d'enseignement moyen (PCEM)</t>
  </si>
  <si>
    <t xml:space="preserve">PINS-METIER-211</t>
  </si>
  <si>
    <t xml:space="preserve">PINS-PROP-MET-212</t>
  </si>
  <si>
    <t xml:space="preserve">S'inscrire au concours de gardien de la paix de la police</t>
  </si>
  <si>
    <t xml:space="preserve">PINS-METIER-212</t>
  </si>
  <si>
    <t xml:space="preserve">PINS-PROP-MET-213</t>
  </si>
  <si>
    <t xml:space="preserve">S'inscrire au concours d'élève gendarme féminin</t>
  </si>
  <si>
    <t xml:space="preserve">PINS-METIER-213</t>
  </si>
  <si>
    <t xml:space="preserve">PINS-PROP-MET-214</t>
  </si>
  <si>
    <t xml:space="preserve">S'inscrire au concours d'élève gendarme</t>
  </si>
  <si>
    <t xml:space="preserve">PINS-METIER-214</t>
  </si>
  <si>
    <t xml:space="preserve">PINS-PROP-MET-215</t>
  </si>
  <si>
    <t xml:space="preserve">Se présenter au concours d'entrée à l'Ecole nationale de formation en économie familiale et sociale (ENFEFS)</t>
  </si>
  <si>
    <t xml:space="preserve">PINS-METIER-215</t>
  </si>
  <si>
    <t xml:space="preserve">PINS-PROP-MET-216</t>
  </si>
  <si>
    <t xml:space="preserve">S'inscrire au brevet de fin d'études moyennes (BFEM)</t>
  </si>
  <si>
    <t xml:space="preserve">PINS-METIER-216</t>
  </si>
  <si>
    <t xml:space="preserve">PINS-PROP-MET-217</t>
  </si>
  <si>
    <t xml:space="preserve">Se présenter au concours d'entrée au centre de formation professionnelle et commerciale (CFPC)</t>
  </si>
  <si>
    <t xml:space="preserve">PINS-METIER-217</t>
  </si>
  <si>
    <t xml:space="preserve">PINS-PROP-MET-218</t>
  </si>
  <si>
    <t xml:space="preserve">S'inscrire à l'examen du baccalauréat</t>
  </si>
  <si>
    <t xml:space="preserve">PINS-METIER-218</t>
  </si>
  <si>
    <t xml:space="preserve">PINS-PROP-MET-219</t>
  </si>
  <si>
    <t xml:space="preserve">Retirer le diplôme du baccalauréat</t>
  </si>
  <si>
    <t xml:space="preserve">PINS-METIER-219</t>
  </si>
  <si>
    <t xml:space="preserve">PINS-PROP-MET-220</t>
  </si>
  <si>
    <t xml:space="preserve">S'inscrire à l'examen du certificat d'aptitude pédagogique (CAP)</t>
  </si>
  <si>
    <t xml:space="preserve">PINS-METIER-220</t>
  </si>
  <si>
    <t xml:space="preserve">PINS-PROP-MET-221</t>
  </si>
  <si>
    <t xml:space="preserve">S'inscrire au concours d'entrée dans les grandes écoles militaires étrangères</t>
  </si>
  <si>
    <t xml:space="preserve">PINS-METIER-221</t>
  </si>
  <si>
    <t xml:space="preserve">PINS-PROP-MET-222</t>
  </si>
  <si>
    <t xml:space="preserve">S'inscrire à l'examen du certificat de fin d'études élémentaires (CFEE)</t>
  </si>
  <si>
    <t xml:space="preserve">PINS-METIER-222</t>
  </si>
  <si>
    <t xml:space="preserve">PINS-PROP-MET-223</t>
  </si>
  <si>
    <t xml:space="preserve">S'inscrire au concours d'entrée de l'Ecole militaire de santé (EMS)</t>
  </si>
  <si>
    <t xml:space="preserve">PINS-METIER-223</t>
  </si>
  <si>
    <t xml:space="preserve">PINS-PROP-MET-224</t>
  </si>
  <si>
    <t xml:space="preserve">S'inscrire au concours d'entrée à l'Ecole nationale des officiers d'active (ENOA)</t>
  </si>
  <si>
    <t xml:space="preserve">PINS-METIER-224</t>
  </si>
  <si>
    <t xml:space="preserve">PINS-PROP-MET-225</t>
  </si>
  <si>
    <t xml:space="preserve">S'inscrire au concours d'entrée du Prytanée militaire de Saint-Louis (PMS)</t>
  </si>
  <si>
    <t xml:space="preserve">PINS-METIER-225</t>
  </si>
  <si>
    <t xml:space="preserve">PINS-PROP-MET-226</t>
  </si>
  <si>
    <t xml:space="preserve">S'inscrire au concours d'entrée à l'Ecole nationale des sous-officiers d'active (ENSOA)</t>
  </si>
  <si>
    <t xml:space="preserve">PINS-METIER-226</t>
  </si>
  <si>
    <t xml:space="preserve">PINS-PROP-MET-227</t>
  </si>
  <si>
    <t xml:space="preserve">S'inscrire à l'examen du Brevet supérieur de capacité (BSC 2)</t>
  </si>
  <si>
    <t xml:space="preserve">PINS-METIER-227</t>
  </si>
  <si>
    <t xml:space="preserve">PINS-PROP-MET-228</t>
  </si>
  <si>
    <t xml:space="preserve">S'inscrire à l'examen d'entrée en sixième</t>
  </si>
  <si>
    <t xml:space="preserve">PINS-METIER-228</t>
  </si>
  <si>
    <t xml:space="preserve">PINS-PROP-MET-229</t>
  </si>
  <si>
    <t xml:space="preserve">Demander à être nommé chef de village</t>
  </si>
  <si>
    <t xml:space="preserve">PINS-METIER-229</t>
  </si>
  <si>
    <t xml:space="preserve">PINS-PROP-MET-230</t>
  </si>
  <si>
    <t xml:space="preserve">Demander un certificat de vie collectif</t>
  </si>
  <si>
    <t xml:space="preserve">PINS-METIER-230</t>
  </si>
  <si>
    <t xml:space="preserve">PINS-PROP-MET-231</t>
  </si>
  <si>
    <t xml:space="preserve">Opter pour la nationalité sénégalaise</t>
  </si>
  <si>
    <t xml:space="preserve">PINS-METIER-231</t>
  </si>
  <si>
    <t xml:space="preserve">PINS-PROP-MET-232</t>
  </si>
  <si>
    <t xml:space="preserve">Demander une carte nationale d'identité</t>
  </si>
  <si>
    <t xml:space="preserve">Transversal</t>
  </si>
  <si>
    <t xml:space="preserve">INST-MCTN</t>
  </si>
  <si>
    <t xml:space="preserve">TRANSVERSAL</t>
  </si>
  <si>
    <t xml:space="preserve">PINS-METIER-232</t>
  </si>
  <si>
    <t xml:space="preserve">PINS-PROP-MET-233</t>
  </si>
  <si>
    <t xml:space="preserve">Demander la nationalité sénégalaise par voie de mariage</t>
  </si>
  <si>
    <t xml:space="preserve">PINS-METIER-233</t>
  </si>
  <si>
    <t xml:space="preserve">PINS-PROP-MET-234</t>
  </si>
  <si>
    <t xml:space="preserve">Demander la nationalité sénégalaise par filiation (ou d'origine)</t>
  </si>
  <si>
    <t xml:space="preserve">PINS-METIER-234</t>
  </si>
  <si>
    <t xml:space="preserve">PINS-PROP-MET-235</t>
  </si>
  <si>
    <t xml:space="preserve">Enregistrer une reconnaissance d'enfant</t>
  </si>
  <si>
    <t xml:space="preserve">PINS-METIER-235</t>
  </si>
  <si>
    <t xml:space="preserve">PINS-PROP-MET-236</t>
  </si>
  <si>
    <t xml:space="preserve">Demander à acquérir la nationalité sénégalaise par décret (naturalisation)</t>
  </si>
  <si>
    <t xml:space="preserve">PINS-METIER-236</t>
  </si>
  <si>
    <t xml:space="preserve">PINS-PROP-MET-237</t>
  </si>
  <si>
    <t xml:space="preserve">Demander une carte de circulation</t>
  </si>
  <si>
    <t xml:space="preserve">PINS-METIER-237</t>
  </si>
  <si>
    <t xml:space="preserve">PINS-PROP-MET-238</t>
  </si>
  <si>
    <t xml:space="preserve">Demander un bulletin de naissance</t>
  </si>
  <si>
    <t xml:space="preserve">PINS-METIER-238</t>
  </si>
  <si>
    <t xml:space="preserve">PINS-PROP-MET-239</t>
  </si>
  <si>
    <t xml:space="preserve">Faire la déclaration tardive d'un mariage coutumier</t>
  </si>
  <si>
    <t xml:space="preserve">PINS-METIER-239</t>
  </si>
  <si>
    <t xml:space="preserve">PINS-PROP-MET-240</t>
  </si>
  <si>
    <t xml:space="preserve">Demander une curatelle</t>
  </si>
  <si>
    <t xml:space="preserve">PINS-METIER-240</t>
  </si>
  <si>
    <t xml:space="preserve">PINS-PROP-MET-241</t>
  </si>
  <si>
    <t xml:space="preserve">Déclarer un décès</t>
  </si>
  <si>
    <t xml:space="preserve">PINS-METIER-241</t>
  </si>
  <si>
    <t xml:space="preserve">PINS-PROP-MET-242</t>
  </si>
  <si>
    <t xml:space="preserve">Demander une copie littérale d'acte de décès</t>
  </si>
  <si>
    <t xml:space="preserve">PINS-METIER-242</t>
  </si>
  <si>
    <t xml:space="preserve">PINS-PROP-MET-243</t>
  </si>
  <si>
    <t xml:space="preserve">Demander un certificat de non inscription de naissance</t>
  </si>
  <si>
    <t xml:space="preserve">PINS-METIER-243</t>
  </si>
  <si>
    <t xml:space="preserve">PINS-PROP-MET-244</t>
  </si>
  <si>
    <t xml:space="preserve">Demander une copie littérale d'acte de naissance</t>
  </si>
  <si>
    <t xml:space="preserve">PINS-METIER-244</t>
  </si>
  <si>
    <t xml:space="preserve">PINS-PROP-MET-245</t>
  </si>
  <si>
    <t xml:space="preserve">Demander un jugement d'autorisation d'inscription tardive de mariage</t>
  </si>
  <si>
    <t xml:space="preserve">PINS-METIER-245</t>
  </si>
  <si>
    <t xml:space="preserve">PINS-PROP-MET-246</t>
  </si>
  <si>
    <t xml:space="preserve">Demander un jugement d'autorisation d'inscription tardive de décès</t>
  </si>
  <si>
    <t xml:space="preserve">PINS-METIER-246</t>
  </si>
  <si>
    <t xml:space="preserve">PINS-PROP-MET-247</t>
  </si>
  <si>
    <t xml:space="preserve">Demander un certificat de non inscription de mariage</t>
  </si>
  <si>
    <t xml:space="preserve">PINS-METIER-247</t>
  </si>
  <si>
    <t xml:space="preserve">PINS-PROP-MET-248</t>
  </si>
  <si>
    <t xml:space="preserve">Demander un certificat de vie individuel</t>
  </si>
  <si>
    <t xml:space="preserve">PINS-METIER-248</t>
  </si>
  <si>
    <t xml:space="preserve">PINS-PROP-MET-249</t>
  </si>
  <si>
    <t xml:space="preserve">Initier une procédure en divorce</t>
  </si>
  <si>
    <t xml:space="preserve">PINS-METIER-249</t>
  </si>
  <si>
    <t xml:space="preserve">PINS-PROP-MET-250</t>
  </si>
  <si>
    <t xml:space="preserve">Demander un extrait du registre des actes de décès</t>
  </si>
  <si>
    <t xml:space="preserve">PINS-METIER-250</t>
  </si>
  <si>
    <t xml:space="preserve">PINS-PROP-MET-251</t>
  </si>
  <si>
    <t xml:space="preserve">Demander une copie littérale d'acte de mariage</t>
  </si>
  <si>
    <t xml:space="preserve">PINS-METIER-251</t>
  </si>
  <si>
    <t xml:space="preserve">PINS-PROP-MET-252</t>
  </si>
  <si>
    <t xml:space="preserve">Demander un certificat de non mariage et de non remariage</t>
  </si>
  <si>
    <t xml:space="preserve">PINS-METIER-252</t>
  </si>
  <si>
    <t xml:space="preserve">PINS-PROP-MET-253</t>
  </si>
  <si>
    <t xml:space="preserve">Demander un extrait du registre des actes de mariage</t>
  </si>
  <si>
    <t xml:space="preserve">PINS-METIER-253</t>
  </si>
  <si>
    <t xml:space="preserve">PINS-PROP-MET-254</t>
  </si>
  <si>
    <t xml:space="preserve">Demander l'enregistrement d'un mariage constaté</t>
  </si>
  <si>
    <t xml:space="preserve">PINS-METIER-254</t>
  </si>
  <si>
    <t xml:space="preserve">PINS-PROP-MET-255</t>
  </si>
  <si>
    <t xml:space="preserve">Demander un certificat de non divorce et de non séparation de corps</t>
  </si>
  <si>
    <t xml:space="preserve">PINS-METIER-255</t>
  </si>
  <si>
    <t xml:space="preserve">PINS-PROP-MET-256</t>
  </si>
  <si>
    <t xml:space="preserve">Demander un certificat de divorce</t>
  </si>
  <si>
    <t xml:space="preserve">PINS-METIER-256</t>
  </si>
  <si>
    <t xml:space="preserve">PINS-PROP-MET-257</t>
  </si>
  <si>
    <t xml:space="preserve">Demander un extrait du registre des actes de naissance</t>
  </si>
  <si>
    <t xml:space="preserve">PINS-METIER-257</t>
  </si>
  <si>
    <t xml:space="preserve">PINS-PROP-MET-258</t>
  </si>
  <si>
    <t xml:space="preserve">Demander un bulletin de décès</t>
  </si>
  <si>
    <t xml:space="preserve">PINS-METIER-258</t>
  </si>
  <si>
    <t xml:space="preserve">PINS-PROP-MET-259</t>
  </si>
  <si>
    <t xml:space="preserve">Demander une indication en paternité</t>
  </si>
  <si>
    <t xml:space="preserve">PINS-METIER-259</t>
  </si>
  <si>
    <t xml:space="preserve">PINS-PROP-MET-260</t>
  </si>
  <si>
    <t xml:space="preserve">Déclarer une naissance</t>
  </si>
  <si>
    <t xml:space="preserve">PINS-METIER-260</t>
  </si>
  <si>
    <t xml:space="preserve">PINS-PROP-MET-261</t>
  </si>
  <si>
    <t xml:space="preserve">Demander un certificat de mariage</t>
  </si>
  <si>
    <t xml:space="preserve">PINS-METIER-261</t>
  </si>
  <si>
    <t xml:space="preserve">PINS-PROP-MET-262</t>
  </si>
  <si>
    <t xml:space="preserve">Demander la célébration d'un mariage</t>
  </si>
  <si>
    <t xml:space="preserve">PINS-METIER-262</t>
  </si>
  <si>
    <t xml:space="preserve">PINS-PROP-MET-263</t>
  </si>
  <si>
    <t xml:space="preserve">Contester une filiation maternelle</t>
  </si>
  <si>
    <t xml:space="preserve">PINS-METIER-263</t>
  </si>
  <si>
    <t xml:space="preserve">PINS-PROP-MET-264</t>
  </si>
  <si>
    <t xml:space="preserve">Demander l'adoption plénière d'un enfant</t>
  </si>
  <si>
    <t xml:space="preserve">PINS-METIER-264</t>
  </si>
  <si>
    <t xml:space="preserve">PINS-PROP-MET-265</t>
  </si>
  <si>
    <t xml:space="preserve">Demander un certificat de coutume</t>
  </si>
  <si>
    <t xml:space="preserve">PINS-METIER-265</t>
  </si>
  <si>
    <t xml:space="preserve">PINS-PROP-MET-266</t>
  </si>
  <si>
    <t xml:space="preserve">Demander l'autorisation de constituer une association étrangère</t>
  </si>
  <si>
    <t xml:space="preserve">PINS-METIER-266</t>
  </si>
  <si>
    <t xml:space="preserve">PINS-PROP-MET-267</t>
  </si>
  <si>
    <t xml:space="preserve">S'inscrire au registre des Français établis au Sénégal</t>
  </si>
  <si>
    <t xml:space="preserve">PINS-METIER-267</t>
  </si>
  <si>
    <t xml:space="preserve">PINS-PROP-MET-268</t>
  </si>
  <si>
    <t xml:space="preserve">Demander le remboursement d'une caution de rapatriement</t>
  </si>
  <si>
    <t xml:space="preserve">PINS-METIER-268</t>
  </si>
  <si>
    <t xml:space="preserve">PINS-PROP-MET-269</t>
  </si>
  <si>
    <t xml:space="preserve">Demander un certificat de domicile</t>
  </si>
  <si>
    <t xml:space="preserve">PINS-METIER-269</t>
  </si>
  <si>
    <t xml:space="preserve">PINS-PROP-MET-270</t>
  </si>
  <si>
    <t xml:space="preserve">Demander un certificat de position militaire</t>
  </si>
  <si>
    <t xml:space="preserve">PINS-METIER-270</t>
  </si>
  <si>
    <t xml:space="preserve">PINS-PROP-MET-271</t>
  </si>
  <si>
    <t xml:space="preserve">Convertir le brevet militaire en permis de conduire</t>
  </si>
  <si>
    <t xml:space="preserve">PINS-METIER-271</t>
  </si>
  <si>
    <t xml:space="preserve">PINS-PROP-MET-272</t>
  </si>
  <si>
    <t xml:space="preserve">Demander un livret individuel pour les anciens militaires</t>
  </si>
  <si>
    <t xml:space="preserve">PINS-METIER-272</t>
  </si>
  <si>
    <t xml:space="preserve">PINS-PROP-MET-273</t>
  </si>
  <si>
    <t xml:space="preserve">Demander une pension de retraite pour un militaire</t>
  </si>
  <si>
    <t xml:space="preserve">PINS-METIER-273</t>
  </si>
  <si>
    <t xml:space="preserve">PINS-PROP-MET-274</t>
  </si>
  <si>
    <t xml:space="preserve">Demander une pension d'ascendant de militaire</t>
  </si>
  <si>
    <t xml:space="preserve">PINS-METIER-274</t>
  </si>
  <si>
    <t xml:space="preserve">PINS-PROP-MET-275</t>
  </si>
  <si>
    <t xml:space="preserve">Demander un état signalétique et des services (pour un militaire)</t>
  </si>
  <si>
    <t xml:space="preserve">PINS-METIER-275</t>
  </si>
  <si>
    <t xml:space="preserve">PINS-PROP-MET-276</t>
  </si>
  <si>
    <t xml:space="preserve">Demander une pension de réversion au bénéfice de la veuve d'un militaire</t>
  </si>
  <si>
    <t xml:space="preserve">PINS-METIER-276</t>
  </si>
  <si>
    <t xml:space="preserve">PINS-PROP-MET-277</t>
  </si>
  <si>
    <t xml:space="preserve">Passer le permis de conduire pour véhicules lourds (type C)</t>
  </si>
  <si>
    <t xml:space="preserve">PINS-METIER-277</t>
  </si>
  <si>
    <t xml:space="preserve">PINS-PROP-MET-278</t>
  </si>
  <si>
    <t xml:space="preserve">Effectuer la mutation d'un véhicule (prendre en compte tous les cas)</t>
  </si>
  <si>
    <t xml:space="preserve">PINS-METIER-278</t>
  </si>
  <si>
    <t xml:space="preserve">PINS-PROP-MET-279</t>
  </si>
  <si>
    <t xml:space="preserve">Demander une attestation d'authenticité du permis de conduire</t>
  </si>
  <si>
    <t xml:space="preserve">PINS-METIER-279</t>
  </si>
  <si>
    <t xml:space="preserve">PINS-PROP-MET-280</t>
  </si>
  <si>
    <t xml:space="preserve">Demander un renouvellement ou un duplicata du permis de conduire</t>
  </si>
  <si>
    <t xml:space="preserve">PINS-METIER-280</t>
  </si>
  <si>
    <t xml:space="preserve">PINS-PROP-MET-281</t>
  </si>
  <si>
    <t xml:space="preserve">Certificat d'immatriculation et d'aptitude technique (Carte grise) avec les mentions</t>
  </si>
  <si>
    <t xml:space="preserve">PINS-METIER-281</t>
  </si>
  <si>
    <t xml:space="preserve">PINS-PROP-MET-282</t>
  </si>
  <si>
    <t xml:space="preserve">Passer son permis de conduire pour véhicule léger</t>
  </si>
  <si>
    <t xml:space="preserve">PINS-METIER-282</t>
  </si>
  <si>
    <t xml:space="preserve">PINS-PROP-MET-283</t>
  </si>
  <si>
    <t xml:space="preserve">Demander une autorisation de vente d'un bien appartenant à un mineur ou à un majeur incapable</t>
  </si>
  <si>
    <t xml:space="preserve">PINS-METIER-283</t>
  </si>
  <si>
    <t xml:space="preserve">PINS-PROP-MET-284</t>
  </si>
  <si>
    <t xml:space="preserve">Demander un certificat de non enrôlement</t>
  </si>
  <si>
    <t xml:space="preserve">PINS-METIER-284</t>
  </si>
  <si>
    <t xml:space="preserve">PINS-PROP-MET-285</t>
  </si>
  <si>
    <t xml:space="preserve">Demander un procès verbal de renonciation à succession</t>
  </si>
  <si>
    <t xml:space="preserve">PINS-METIER-285</t>
  </si>
  <si>
    <t xml:space="preserve">PINS-PROP-MET-286</t>
  </si>
  <si>
    <t xml:space="preserve">Demander une attestation de jugement ou d'arrêt rendu</t>
  </si>
  <si>
    <t xml:space="preserve">PINS-METIER-286</t>
  </si>
  <si>
    <t xml:space="preserve">PINS-PROP-MET-287</t>
  </si>
  <si>
    <t xml:space="preserve">Demander l'exécution d'une décision allouant une pension alimentaire à une personne</t>
  </si>
  <si>
    <t xml:space="preserve">PINS-METIER-287</t>
  </si>
  <si>
    <t xml:space="preserve">PINS-PROP-MET-288</t>
  </si>
  <si>
    <t xml:space="preserve">Demander un procès verbal de conciliation</t>
  </si>
  <si>
    <t xml:space="preserve">PINS-METIER-288</t>
  </si>
  <si>
    <t xml:space="preserve">PINS-PROP-MET-289</t>
  </si>
  <si>
    <t xml:space="preserve">Demander un jugement d'émancipation</t>
  </si>
  <si>
    <t xml:space="preserve">PINS-METIER-289</t>
  </si>
  <si>
    <t xml:space="preserve">PINS-PROP-MET-290</t>
  </si>
  <si>
    <t xml:space="preserve">Demander un procès verbal d'ouverture de testament</t>
  </si>
  <si>
    <t xml:space="preserve">PINS-METIER-290</t>
  </si>
  <si>
    <t xml:space="preserve">PINS-PROP-MET-291</t>
  </si>
  <si>
    <t xml:space="preserve">Demander un certificat de non rétractation à consentement</t>
  </si>
  <si>
    <t xml:space="preserve">PINS-METIER-291</t>
  </si>
  <si>
    <t xml:space="preserve">PINS-PROP-MET-292</t>
  </si>
  <si>
    <t xml:space="preserve">Demander un procès verbal de consentement à adoption</t>
  </si>
  <si>
    <t xml:space="preserve">PINS-METIER-292</t>
  </si>
  <si>
    <t xml:space="preserve">PINS-PROP-MET-293</t>
  </si>
  <si>
    <t xml:space="preserve">Demander l'exécution d'une décision ordonnant la main levée d'une décision qui avait alloué une pension alimentaire à une personne</t>
  </si>
  <si>
    <t xml:space="preserve">PINS-METIER-293</t>
  </si>
  <si>
    <t xml:space="preserve">PINS-PROP-MET-294</t>
  </si>
  <si>
    <t xml:space="preserve">Faire appel du jugement ou de l'ordonnance</t>
  </si>
  <si>
    <t xml:space="preserve">PINS-METIER-294</t>
  </si>
  <si>
    <t xml:space="preserve">PINS-PROP-MET-295</t>
  </si>
  <si>
    <t xml:space="preserve">Demander un jugement d'hérédité</t>
  </si>
  <si>
    <t xml:space="preserve">PINS-METIER-295</t>
  </si>
  <si>
    <t xml:space="preserve">PINS-PROP-MET-296</t>
  </si>
  <si>
    <t xml:space="preserve">Demander un certificat d'administration légale</t>
  </si>
  <si>
    <t xml:space="preserve">PINS-METIER-296</t>
  </si>
  <si>
    <t xml:space="preserve">PINS-PROP-MET-297</t>
  </si>
  <si>
    <t xml:space="preserve">Demander une expédition, une copie ou une grosse d'une décision de justice</t>
  </si>
  <si>
    <t xml:space="preserve">PINS-METIER-297</t>
  </si>
  <si>
    <t xml:space="preserve">PINS-PROP-MET-298</t>
  </si>
  <si>
    <t xml:space="preserve">Demander la résiliation d'un bail</t>
  </si>
  <si>
    <t xml:space="preserve">PINS-METIER-298</t>
  </si>
  <si>
    <t xml:space="preserve">PINS-PROP-MET-299</t>
  </si>
  <si>
    <t xml:space="preserve">Rédiger un testament</t>
  </si>
  <si>
    <t xml:space="preserve">PINS-METIER-299</t>
  </si>
  <si>
    <t xml:space="preserve">PINS-PROP-MET-300</t>
  </si>
  <si>
    <t xml:space="preserve">Demander la tutelle d'un enfant</t>
  </si>
  <si>
    <t xml:space="preserve">PINS-METIER-300</t>
  </si>
  <si>
    <t xml:space="preserve">PINS-PROP-MET-301</t>
  </si>
  <si>
    <t xml:space="preserve">Saisir la maison de justice pour le règlement d'un litige</t>
  </si>
  <si>
    <t xml:space="preserve">PINS-METIER-301</t>
  </si>
  <si>
    <t xml:space="preserve">PINS-PROP-MET-302</t>
  </si>
  <si>
    <t xml:space="preserve">Demander une délégation de puissance paternelle</t>
  </si>
  <si>
    <t xml:space="preserve">PINS-METIER-302</t>
  </si>
  <si>
    <t xml:space="preserve">PINS-PROP-MET-303</t>
  </si>
  <si>
    <t xml:space="preserve">Demander l'établissement exceptionnel d'indication de paternité</t>
  </si>
  <si>
    <t xml:space="preserve">PINS-METIER-303</t>
  </si>
  <si>
    <t xml:space="preserve">PINS-PROP-MET-304</t>
  </si>
  <si>
    <t xml:space="preserve">Réclamer la filiation maternelle</t>
  </si>
  <si>
    <t xml:space="preserve">PINS-METIER-304</t>
  </si>
  <si>
    <t xml:space="preserve">PINS-PROP-MET-305</t>
  </si>
  <si>
    <t xml:space="preserve">Porter plainte directement devant le procureur de la République</t>
  </si>
  <si>
    <t xml:space="preserve">PINS-METIER-305</t>
  </si>
  <si>
    <t xml:space="preserve">PINS-PROP-MET-306</t>
  </si>
  <si>
    <t xml:space="preserve">Demander un partage successoral</t>
  </si>
  <si>
    <t xml:space="preserve">PINS-METIER-306</t>
  </si>
  <si>
    <t xml:space="preserve">PINS-PROP-MET-307</t>
  </si>
  <si>
    <t xml:space="preserve">Demander un certificat de non opposition, ni appel</t>
  </si>
  <si>
    <t xml:space="preserve">PINS-METIER-307</t>
  </si>
  <si>
    <t xml:space="preserve">PINS-PROP-MET-308</t>
  </si>
  <si>
    <t xml:space="preserve">Demander la délivrance d'une copie du procès verbal d'un accident de la circulation routière</t>
  </si>
  <si>
    <t xml:space="preserve">PINS-METIER-308</t>
  </si>
  <si>
    <t xml:space="preserve">PINS-PROP-MET-309</t>
  </si>
  <si>
    <t xml:space="preserve">Faire une donation entre vifs</t>
  </si>
  <si>
    <t xml:space="preserve">PINS-METIER-309</t>
  </si>
  <si>
    <t xml:space="preserve">PINS-PROP-MET-310</t>
  </si>
  <si>
    <t xml:space="preserve">Demander un certificat de non pourvoi en cassation en matière pénale, civile et sociale</t>
  </si>
  <si>
    <t xml:space="preserve">PINS-METIER-310</t>
  </si>
  <si>
    <t xml:space="preserve">PINS-PROP-MET-311</t>
  </si>
  <si>
    <t xml:space="preserve">Demander un désaveu de paternité</t>
  </si>
  <si>
    <t xml:space="preserve">PINS-METIER-311</t>
  </si>
  <si>
    <t xml:space="preserve">PINS-PROP-MET-312</t>
  </si>
  <si>
    <t xml:space="preserve">Demander l'adoption limitée d'un enfant</t>
  </si>
  <si>
    <t xml:space="preserve">PINS-METIER-312</t>
  </si>
  <si>
    <t xml:space="preserve">PINS-PROP-MET-313</t>
  </si>
  <si>
    <t xml:space="preserve">Demande de création d'une officine de pharmacie</t>
  </si>
  <si>
    <t xml:space="preserve">PINS-METIER-313</t>
  </si>
  <si>
    <t xml:space="preserve">PINS-PROP-MET-314</t>
  </si>
  <si>
    <t xml:space="preserve">Demander le paiement de frais de déplacement en cas d'affectation ou de départ à la retraite d'un agent de l'Etat</t>
  </si>
  <si>
    <t xml:space="preserve">PINS-METIER-314</t>
  </si>
  <si>
    <t xml:space="preserve">PINS-PROP-MET-315</t>
  </si>
  <si>
    <t xml:space="preserve">Demander un branchement eau à la SEN'EAU : cas d'une personne morale</t>
  </si>
  <si>
    <t xml:space="preserve">PINS-METIER-315</t>
  </si>
  <si>
    <t xml:space="preserve">PINS-PROP-MET-316</t>
  </si>
  <si>
    <t xml:space="preserve">Parrainer un enfant dans les cases des tout - petits.</t>
  </si>
  <si>
    <t xml:space="preserve">PINS-METIER-316</t>
  </si>
  <si>
    <t xml:space="preserve">PINS-PROP-MET-317</t>
  </si>
  <si>
    <t xml:space="preserve">Demander à créer un journal d'information quotidien ou périodique</t>
  </si>
  <si>
    <t xml:space="preserve">PINS-METIER-317</t>
  </si>
  <si>
    <t xml:space="preserve">PINS-PROP-MET-318</t>
  </si>
  <si>
    <t xml:space="preserve">Faire une déclaration de parution pour enregistrement d'un organe de presse écrite</t>
  </si>
  <si>
    <t xml:space="preserve">PINS-METIER-318</t>
  </si>
  <si>
    <t xml:space="preserve">PINS-PROP-MET-319</t>
  </si>
  <si>
    <t xml:space="preserve">Demander à obtenir la licence d'exploitation d'une radio privée commerciale</t>
  </si>
  <si>
    <t xml:space="preserve">PINS-METIER-319</t>
  </si>
  <si>
    <t xml:space="preserve">PINS-PROP-MET-320</t>
  </si>
  <si>
    <t xml:space="preserve">Demander à devenir un animateur polyvalent dans les cases des tout - petits</t>
  </si>
  <si>
    <t xml:space="preserve">PINS-METIER-320</t>
  </si>
  <si>
    <t xml:space="preserve">PINS-PROP-MET-321</t>
  </si>
  <si>
    <t xml:space="preserve">Demander à devenir une mère assistante dans les cases des tout - petits</t>
  </si>
  <si>
    <t xml:space="preserve">PINS-METIER-321</t>
  </si>
  <si>
    <t xml:space="preserve">PINS-PROP-MET-322</t>
  </si>
  <si>
    <t xml:space="preserve">Demander à bénéficier de l'aide aux organes de presse</t>
  </si>
  <si>
    <t xml:space="preserve">PINS-METIER-322</t>
  </si>
  <si>
    <t xml:space="preserve">PINS-PROP-MET-323</t>
  </si>
  <si>
    <t xml:space="preserve">Demander à obtenir la carte nationale de presse.</t>
  </si>
  <si>
    <t xml:space="preserve">PINS-METIER-323</t>
  </si>
  <si>
    <t xml:space="preserve">PINS-PROP-MET-324</t>
  </si>
  <si>
    <t xml:space="preserve">Demander à obtenir la licence d'exploitation d'une télévision privée commerciale</t>
  </si>
  <si>
    <t xml:space="preserve">PINS-METIER-324</t>
  </si>
  <si>
    <t xml:space="preserve">PINS-PROP-MET-325</t>
  </si>
  <si>
    <t xml:space="preserve">Demander à obtenir la licence d'exploitation d'une télévision non commerciale</t>
  </si>
  <si>
    <t xml:space="preserve">PINS-METIER-325</t>
  </si>
  <si>
    <t xml:space="preserve">PINS-PROP-MET-326</t>
  </si>
  <si>
    <t xml:space="preserve">Demander à élaguer un arbre</t>
  </si>
  <si>
    <t xml:space="preserve">PINS-METIER-326</t>
  </si>
  <si>
    <t xml:space="preserve">PINS-PROP-MET-327</t>
  </si>
  <si>
    <t xml:space="preserve">Demander à constituer un dossier de prestations familiales à la Caisse de sécurité sociale</t>
  </si>
  <si>
    <t xml:space="preserve">PINS-METIER-327</t>
  </si>
  <si>
    <t xml:space="preserve">PINS-PROP-MET-328</t>
  </si>
  <si>
    <t xml:space="preserve">Demander un agrément en Organisation Non Gouvernementale (ONG)</t>
  </si>
  <si>
    <t xml:space="preserve">PINS-METIER-328</t>
  </si>
  <si>
    <t xml:space="preserve">PINS-PROP-MET-329</t>
  </si>
  <si>
    <t xml:space="preserve">Demander l'autorisation d'organiser un événement sportif par les établissements scolaires et universitaires</t>
  </si>
  <si>
    <t xml:space="preserve">PINS-METIER-329</t>
  </si>
  <si>
    <t xml:space="preserve">PINS-PROP-MET-330</t>
  </si>
  <si>
    <t xml:space="preserve">Enregistrer un marché administratif</t>
  </si>
  <si>
    <t xml:space="preserve">PINS-METIER-330</t>
  </si>
  <si>
    <t xml:space="preserve">PINS-PROP-MET-331</t>
  </si>
  <si>
    <t xml:space="preserve">Demander une inscription en hypothèque ou autre cause d'indisponibilité</t>
  </si>
  <si>
    <t xml:space="preserve">PINS-METIER-331</t>
  </si>
  <si>
    <t xml:space="preserve">PINS-PROP-MET-332</t>
  </si>
  <si>
    <t xml:space="preserve">Comment obtenir un titre foncier pour une propriété acquise à la SN HLM</t>
  </si>
  <si>
    <t xml:space="preserve">PINS-METIER-332</t>
  </si>
  <si>
    <t xml:space="preserve">PINS-PROP-MET-333</t>
  </si>
  <si>
    <t xml:space="preserve">Demander la certification de pièces administratives à la Direction des archives du Sénégal</t>
  </si>
  <si>
    <t xml:space="preserve">PINS-METIER-333</t>
  </si>
  <si>
    <t xml:space="preserve">PINS-PROP-MET-334</t>
  </si>
  <si>
    <t xml:space="preserve">Demander un agrément pour une mutuelle de santé</t>
  </si>
  <si>
    <t xml:space="preserve">PINS-METIER-334</t>
  </si>
  <si>
    <t xml:space="preserve">PINS-PROP-MET-335</t>
  </si>
  <si>
    <t xml:space="preserve">Demander l'autorisation d'ouvrir un laboratoire d'analyses de biologie médicale</t>
  </si>
  <si>
    <t xml:space="preserve">PINS-METIER-335</t>
  </si>
  <si>
    <t xml:space="preserve">PINS-PROP-MET-336</t>
  </si>
  <si>
    <t xml:space="preserve">Comment obtenir l'aide d'un médiateur financier</t>
  </si>
  <si>
    <t xml:space="preserve">PINS-METIER-336</t>
  </si>
  <si>
    <t xml:space="preserve">PINS-PROP-MET-337</t>
  </si>
  <si>
    <t xml:space="preserve">Demander l'autorisation d'ouvrir une clinique médicale</t>
  </si>
  <si>
    <t xml:space="preserve">PINS-METIER-337</t>
  </si>
  <si>
    <t xml:space="preserve">PINS-PROP-MET-338</t>
  </si>
  <si>
    <t xml:space="preserve">Demander à ouvrir un cabinet dentaire à titre privé</t>
  </si>
  <si>
    <t xml:space="preserve">PINS-METIER-338</t>
  </si>
  <si>
    <t xml:space="preserve">PINS-PROP-MET-339</t>
  </si>
  <si>
    <t xml:space="preserve">Comment créer une fédération sportive</t>
  </si>
  <si>
    <t xml:space="preserve">PINS-METIER-339</t>
  </si>
  <si>
    <t xml:space="preserve">PINS-PROP-MET-340</t>
  </si>
  <si>
    <t xml:space="preserve">Comment créer un club sportif ou une association sportive et culturelle (ASC)</t>
  </si>
  <si>
    <t xml:space="preserve">PINS-METIER-340</t>
  </si>
  <si>
    <t xml:space="preserve">PINS-PROP-MET-341</t>
  </si>
  <si>
    <t xml:space="preserve">Demander à obtenir un acte de nationalité sénégalaise d'un navire</t>
  </si>
  <si>
    <t xml:space="preserve">PINS-METIER-341</t>
  </si>
  <si>
    <t xml:space="preserve">PINS-PROP-MET-342</t>
  </si>
  <si>
    <t xml:space="preserve">Se présenter aux concours d'entrée au Centre national de formation des techniciens des pêches et de l'aquaculture (CNFTPA)</t>
  </si>
  <si>
    <t xml:space="preserve">PINS-METIER-342</t>
  </si>
  <si>
    <t xml:space="preserve">PINS-PROP-MET-343</t>
  </si>
  <si>
    <t xml:space="preserve">Demander à créer une section d'acquéreurs de parcelles assainies de la SN-HLM</t>
  </si>
  <si>
    <t xml:space="preserve">PINS-METIER-343</t>
  </si>
  <si>
    <t xml:space="preserve">PINS-PROP-MET-344</t>
  </si>
  <si>
    <t xml:space="preserve">Demander l'autorisation de nantir un logement SN-HLM ou une parcelle assainie</t>
  </si>
  <si>
    <t xml:space="preserve">PINS-METIER-344</t>
  </si>
  <si>
    <t xml:space="preserve">PINS-PROP-MET-345</t>
  </si>
  <si>
    <t xml:space="preserve">Demander à solder par anticipation un logement SN-HLM ou une parcelle assainie</t>
  </si>
  <si>
    <t xml:space="preserve">PINS-METIER-345</t>
  </si>
  <si>
    <t xml:space="preserve">PINS-PROP-MET-346</t>
  </si>
  <si>
    <t xml:space="preserve">Demander la radiation d'un agent de l'Etat décédé</t>
  </si>
  <si>
    <t xml:space="preserve">PINS-METIER-346</t>
  </si>
  <si>
    <t xml:space="preserve">PINS-PROP-MET-347</t>
  </si>
  <si>
    <t xml:space="preserve">Comment bénéficier d'un branchement à l'égout</t>
  </si>
  <si>
    <t xml:space="preserve">PINS-METIER-347</t>
  </si>
  <si>
    <t xml:space="preserve">PINS-PROP-MET-348</t>
  </si>
  <si>
    <t xml:space="preserve">Demander l'agrément pour une coopérative d'habitat</t>
  </si>
  <si>
    <t xml:space="preserve">PINS-METIER-348</t>
  </si>
  <si>
    <t xml:space="preserve">PINS-PROP-MET-349</t>
  </si>
  <si>
    <t xml:space="preserve">Demander une diminution de parts pour les agents de l'Etat</t>
  </si>
  <si>
    <t xml:space="preserve">PINS-METIER-349</t>
  </si>
  <si>
    <t xml:space="preserve">PINS-PROP-MET-350</t>
  </si>
  <si>
    <t xml:space="preserve">Demander la validation des services auxiliaires et précaires pour les fonctionnaires</t>
  </si>
  <si>
    <t xml:space="preserve">PINS-METIER-350</t>
  </si>
  <si>
    <t xml:space="preserve">PINS-PROP-MET-351</t>
  </si>
  <si>
    <t xml:space="preserve">Demander une retraite anticipée</t>
  </si>
  <si>
    <t xml:space="preserve">PINS-METIER-351</t>
  </si>
  <si>
    <t xml:space="preserve">PINS-PROP-MET-352</t>
  </si>
  <si>
    <t xml:space="preserve">Demander le paiement d'une indemnité de logement pour les agents de l'Etat</t>
  </si>
  <si>
    <t xml:space="preserve">PINS-METIER-352</t>
  </si>
  <si>
    <t xml:space="preserve">PINS-PROP-MET-353</t>
  </si>
  <si>
    <t xml:space="preserve">Demander des prestations familiales pour les fonctionnaires</t>
  </si>
  <si>
    <t xml:space="preserve">PINS-METIER-353</t>
  </si>
  <si>
    <t xml:space="preserve">PINS-PROP-MET-354</t>
  </si>
  <si>
    <t xml:space="preserve">S'inscrire au concours d'entrée à l'Ecole nationale d'administration (ENA)</t>
  </si>
  <si>
    <t xml:space="preserve">PINS-METIER-354</t>
  </si>
  <si>
    <t xml:space="preserve">PINS-PROP-MET-355</t>
  </si>
  <si>
    <t xml:space="preserve">Demander l'octroi d'une allocation municipale d'études à l'étranger</t>
  </si>
  <si>
    <t xml:space="preserve">PINS-METIER-355</t>
  </si>
  <si>
    <t xml:space="preserve">PINS-PROP-MET-356</t>
  </si>
  <si>
    <t xml:space="preserve">Demander une aide municipale d'études au niveau national</t>
  </si>
  <si>
    <t xml:space="preserve">PINS-METIER-356</t>
  </si>
  <si>
    <t xml:space="preserve">PINS-PROP-MET-357</t>
  </si>
  <si>
    <t xml:space="preserve">Faire une demande de location d'un corbillard</t>
  </si>
  <si>
    <t xml:space="preserve">PINS-METIER-357</t>
  </si>
  <si>
    <t xml:space="preserve">PINS-PROP-MET-358</t>
  </si>
  <si>
    <t xml:space="preserve">Demander une autorisation d'occupation de voirie à titre temporaire</t>
  </si>
  <si>
    <t xml:space="preserve">PINS-METIER-358</t>
  </si>
  <si>
    <t xml:space="preserve">PINS-PROP-MET-359</t>
  </si>
  <si>
    <t xml:space="preserve">Demande de prise en charge médicale à l'Institution de prévoyance retraite du Sénégal (IPRES)</t>
  </si>
  <si>
    <t xml:space="preserve">PINS-METIER-359</t>
  </si>
  <si>
    <t xml:space="preserve">PINS-PROP-MET-360</t>
  </si>
  <si>
    <t xml:space="preserve">Demander un quitus et une attestation de fin de paiement à la Société nationale des habitations à loyer modéré (SN-HLM)</t>
  </si>
  <si>
    <t xml:space="preserve">PINS-METIER-360</t>
  </si>
  <si>
    <t xml:space="preserve">PINS-PROP-MET-361</t>
  </si>
  <si>
    <t xml:space="preserve">Demander la substitution d'un logement à la Société nationale des habitations à loyer modéré (SN-HLM)</t>
  </si>
  <si>
    <t xml:space="preserve">PINS-METIER-361</t>
  </si>
  <si>
    <t xml:space="preserve">PINS-PROP-MET-362</t>
  </si>
  <si>
    <t xml:space="preserve">Demander une attestation de non attributaire de logement à la Société nationale des habitations à loyer modéré (SN-HLM)</t>
  </si>
  <si>
    <t xml:space="preserve">PINS-METIER-362</t>
  </si>
  <si>
    <t xml:space="preserve">PINS-PROP-MET-363</t>
  </si>
  <si>
    <t xml:space="preserve">Obtenir une attestation de locataire à la SICAP SA</t>
  </si>
  <si>
    <t xml:space="preserve">PINS-METIER-363</t>
  </si>
  <si>
    <t xml:space="preserve">PINS-PROP-MET-364</t>
  </si>
  <si>
    <t xml:space="preserve">Demander une carte d'affiliation à l'Institution de prévoyance retraite du Sénégal (IPRES)</t>
  </si>
  <si>
    <t xml:space="preserve">PINS-METIER-364</t>
  </si>
  <si>
    <t xml:space="preserve">PINS-PROP-MET-365</t>
  </si>
  <si>
    <t xml:space="preserve">Demander la vérification de l'affiliation à l'Institution de prévoyance retraite du Sénégal (IPRES)</t>
  </si>
  <si>
    <t xml:space="preserve">PINS-METIER-365</t>
  </si>
  <si>
    <t xml:space="preserve">PINS-PROP-MET-366</t>
  </si>
  <si>
    <t xml:space="preserve">Demander une pension de retraite à l'Institution de prévoyance retraite du Sénégal (IPRES)</t>
  </si>
  <si>
    <t xml:space="preserve">PINS-METIER-366</t>
  </si>
  <si>
    <t xml:space="preserve">PINS-PROP-MET-367</t>
  </si>
  <si>
    <t xml:space="preserve">Demander une indemnité compensatrice de congé (pour les agents non fonctionnaires de l'Etat)</t>
  </si>
  <si>
    <t xml:space="preserve">PINS-METIER-367</t>
  </si>
  <si>
    <t xml:space="preserve">PINS-PROP-MET-368</t>
  </si>
  <si>
    <t xml:space="preserve">Demander un visa de domiciliation de salaire</t>
  </si>
  <si>
    <t xml:space="preserve">PINS-METIER-368</t>
  </si>
  <si>
    <t xml:space="preserve">PINS-PROP-MET-369</t>
  </si>
  <si>
    <t xml:space="preserve">Demander une indemnité de déplacement à l'intérieur du pays pour un agent de l'Etat</t>
  </si>
  <si>
    <t xml:space="preserve">PINS-METIER-369</t>
  </si>
  <si>
    <t xml:space="preserve">PINS-PROP-MET-370</t>
  </si>
  <si>
    <t xml:space="preserve">Demander une allocation de congés de maternité (pour un agent non fonctionnaire de l'Etat)</t>
  </si>
  <si>
    <t xml:space="preserve">PINS-METIER-370</t>
  </si>
  <si>
    <t xml:space="preserve">PINS-PROP-MET-371</t>
  </si>
  <si>
    <t xml:space="preserve">Demander une allocation de congés administratifs</t>
  </si>
  <si>
    <t xml:space="preserve">PINS-METIER-371</t>
  </si>
  <si>
    <t xml:space="preserve">PINS-PROP-MET-372</t>
  </si>
  <si>
    <t xml:space="preserve">Payer la taxe d'enlèvement des ordures ménagères (TEOM)</t>
  </si>
  <si>
    <t xml:space="preserve">PINS-METIER-372</t>
  </si>
  <si>
    <t xml:space="preserve">PINS-PROP-MET-373</t>
  </si>
  <si>
    <t xml:space="preserve">Déclarer ses revenus</t>
  </si>
  <si>
    <t xml:space="preserve">PINS-METIER-373</t>
  </si>
  <si>
    <t xml:space="preserve">PINS-PROP-MET-374</t>
  </si>
  <si>
    <t xml:space="preserve">Accéder à une zone d'aménagement concerté (ZAC)</t>
  </si>
  <si>
    <t xml:space="preserve">PINS-METIER-374</t>
  </si>
  <si>
    <t xml:space="preserve">PINS-PROP-MET-375</t>
  </si>
  <si>
    <t xml:space="preserve">S'inscrire au test d'entrée à l'Institut national supérieur de l'éducation populaire et du sport (INSEPS)</t>
  </si>
  <si>
    <t xml:space="preserve">PINS-METIER-375</t>
  </si>
  <si>
    <t xml:space="preserve">PINS-PROP-MET-376</t>
  </si>
  <si>
    <t xml:space="preserve">Demander une dispense d'âge pour l'inscription en classe de cours d'initiation (CI)</t>
  </si>
  <si>
    <t xml:space="preserve">PINS-METIER-376</t>
  </si>
  <si>
    <t xml:space="preserve">PINS-PROP-MET-377</t>
  </si>
  <si>
    <t xml:space="preserve">Demander une autorisation d'enseigner dans les écoles privées de formation professionnelle</t>
  </si>
  <si>
    <t xml:space="preserve">PINS-METIER-377</t>
  </si>
  <si>
    <t xml:space="preserve">PINS-PROP-MET-378</t>
  </si>
  <si>
    <t xml:space="preserve">Devenir vacataire de l'enseignement technique et de la formation professionnelle</t>
  </si>
  <si>
    <t xml:space="preserve">PINS-METIER-378</t>
  </si>
  <si>
    <t xml:space="preserve">PINS-PROP-MET-379</t>
  </si>
  <si>
    <t xml:space="preserve">Demander une autorisation d'ouvrir une école privée de formation professionnelle</t>
  </si>
  <si>
    <t xml:space="preserve">PINS-METIER-379</t>
  </si>
  <si>
    <t xml:space="preserve">PINS-PROP-MET-380</t>
  </si>
  <si>
    <t xml:space="preserve">Comment faire une carrière militaire</t>
  </si>
  <si>
    <t xml:space="preserve">PINS-METIER-380</t>
  </si>
  <si>
    <t xml:space="preserve">PINS-PROP-MET-381</t>
  </si>
  <si>
    <t xml:space="preserve">S'inscrire au Centre africain d'études supérieures en gestion (CESAG)</t>
  </si>
  <si>
    <t xml:space="preserve">PINS-METIER-381</t>
  </si>
  <si>
    <t xml:space="preserve">PINS-PROP-MET-382</t>
  </si>
  <si>
    <t xml:space="preserve">Demander la fourniture d'électricité à la Sénélec</t>
  </si>
  <si>
    <t xml:space="preserve">PINS-METIER-382</t>
  </si>
  <si>
    <t xml:space="preserve">PINS-PROP-MET-383</t>
  </si>
  <si>
    <t xml:space="preserve">S'inscrire à l'université Gaston Berger de Saint-Louis</t>
  </si>
  <si>
    <t xml:space="preserve">PINS-METIER-383</t>
  </si>
  <si>
    <t xml:space="preserve">PINS-PROP-MET-384</t>
  </si>
  <si>
    <t xml:space="preserve">Acquérir ou se faire attribuer un terrain du domaine national</t>
  </si>
  <si>
    <t xml:space="preserve">PINS-METIER-384</t>
  </si>
  <si>
    <t xml:space="preserve">PINS-PROP-MET-385</t>
  </si>
  <si>
    <t xml:space="preserve">Demander un remboursement de cotisations au Fonds national de retraite (FNR)</t>
  </si>
  <si>
    <t xml:space="preserve">INST-FNR</t>
  </si>
  <si>
    <t xml:space="preserve">PINS-METIER-385</t>
  </si>
  <si>
    <t xml:space="preserve">PINS-PROP-MET-386</t>
  </si>
  <si>
    <t xml:space="preserve">S'inscrire en classe de seconde</t>
  </si>
  <si>
    <t xml:space="preserve">PINS-METIER-386</t>
  </si>
  <si>
    <t xml:space="preserve">PINS-PROP-MET-387</t>
  </si>
  <si>
    <t xml:space="preserve">Demander le placement d'un enfant mineur dans les centres spécialisés</t>
  </si>
  <si>
    <t xml:space="preserve">PINS-METIER-387</t>
  </si>
  <si>
    <t xml:space="preserve">PINS-PROP-MET-388</t>
  </si>
  <si>
    <t xml:space="preserve">Demander un logement administratif</t>
  </si>
  <si>
    <t xml:space="preserve">PINS-METIER-388</t>
  </si>
  <si>
    <t xml:space="preserve">PINS-PROP-MET-389</t>
  </si>
  <si>
    <t xml:space="preserve">Demander une attestation de logement administratif</t>
  </si>
  <si>
    <t xml:space="preserve">PINS-METIER-389</t>
  </si>
  <si>
    <t xml:space="preserve">PINS-PROP-MET-390</t>
  </si>
  <si>
    <t xml:space="preserve">Demander une attestation de non logement administratif</t>
  </si>
  <si>
    <t xml:space="preserve">PINS-METIER-390</t>
  </si>
  <si>
    <t xml:space="preserve">PINS-PROP-MET-391</t>
  </si>
  <si>
    <t xml:space="preserve">Demander une attestation de propriété à la SICAP SA</t>
  </si>
  <si>
    <t xml:space="preserve">PINS-METIER-391</t>
  </si>
  <si>
    <t xml:space="preserve">PINS-PROP-MET-392</t>
  </si>
  <si>
    <t xml:space="preserve">Demander un contrat de location-vente de logement à la Société nationale des habitations à loyer modéré (SN-HLM)</t>
  </si>
  <si>
    <t xml:space="preserve">PINS-METIER-392</t>
  </si>
  <si>
    <t xml:space="preserve">PINS-PROP-MET-393</t>
  </si>
  <si>
    <t xml:space="preserve">Demander une attestation de non locataire ou de non propriétaire à la SICAP SA</t>
  </si>
  <si>
    <t xml:space="preserve">PINS-METIER-393</t>
  </si>
  <si>
    <t xml:space="preserve">PINS-PROP-MET-394</t>
  </si>
  <si>
    <t xml:space="preserve">Demander une autorisation de transformation de plans ou de construction à la SICAP SA</t>
  </si>
  <si>
    <t xml:space="preserve">PINS-METIER-394</t>
  </si>
  <si>
    <t xml:space="preserve">PINS-PROP-MET-395</t>
  </si>
  <si>
    <t xml:space="preserve">Demander une petite parcelle à la Société nationale des habitations à loyer modéré (SN-HLM)</t>
  </si>
  <si>
    <t xml:space="preserve">PINS-METIER-395</t>
  </si>
  <si>
    <t xml:space="preserve">PINS-PROP-MET-396</t>
  </si>
  <si>
    <t xml:space="preserve">Demander une attestation d'apport à la Société nationale des habitations à loyer modéré (SN-HLM)</t>
  </si>
  <si>
    <t xml:space="preserve">PINS-METIER-396</t>
  </si>
  <si>
    <t xml:space="preserve">PINS-PROP-MET-397</t>
  </si>
  <si>
    <t xml:space="preserve">Demander un permis d'occuper</t>
  </si>
  <si>
    <t xml:space="preserve">PINS-METIER-397</t>
  </si>
  <si>
    <t xml:space="preserve">PINS-PROP-MET-398</t>
  </si>
  <si>
    <t xml:space="preserve">Demander une attestation de non attributaire de parcelle à la Société nationale des habitations à loyer modéré (SN-HLM)</t>
  </si>
  <si>
    <t xml:space="preserve">PINS-METIER-398</t>
  </si>
  <si>
    <t xml:space="preserve">PINS-PROP-MET-399</t>
  </si>
  <si>
    <t xml:space="preserve">Demander l'octroi d'une allocation d'étude à l'étranger (bourse)</t>
  </si>
  <si>
    <t xml:space="preserve">PINS-METIER-399</t>
  </si>
  <si>
    <t xml:space="preserve">PINS-PROP-MET-400</t>
  </si>
  <si>
    <t xml:space="preserve">Faire une réclamation sur des faits mettant en cause un ou des agent(s) chargé(s) de la sécurité publique</t>
  </si>
  <si>
    <t xml:space="preserve">PINS-METIER-400</t>
  </si>
  <si>
    <t xml:space="preserve">PINS-PROP-MET-401</t>
  </si>
  <si>
    <t xml:space="preserve">Demander une bourse d'étude nationale (études supérieures)</t>
  </si>
  <si>
    <t xml:space="preserve">PINS-METIER-401</t>
  </si>
  <si>
    <t xml:space="preserve">PINS-PROP-MET-402</t>
  </si>
  <si>
    <t xml:space="preserve">Demander une cession volontaire sur salaire</t>
  </si>
  <si>
    <t xml:space="preserve">PINS-METIER-402</t>
  </si>
  <si>
    <t xml:space="preserve">PINS-PROP-MET-403</t>
  </si>
  <si>
    <t xml:space="preserve">Demander une carte de lecteur à la bibliothèque universitaire</t>
  </si>
  <si>
    <t xml:space="preserve">PINS-METIER-403</t>
  </si>
  <si>
    <t xml:space="preserve">PINS-PROP-MET-404</t>
  </si>
  <si>
    <t xml:space="preserve">Demander une attestation d'inscription dans un programme immobilier de la SICAP SA</t>
  </si>
  <si>
    <t xml:space="preserve">PINS-METIER-404</t>
  </si>
  <si>
    <t xml:space="preserve">PINS-PROP-MET-405</t>
  </si>
  <si>
    <t xml:space="preserve">Demander un logement ou un terrain à usage d'habitation, de bureaux, de commerce, de garage ou autres à la SICAP SA</t>
  </si>
  <si>
    <t xml:space="preserve">PINS-METIER-405</t>
  </si>
  <si>
    <t xml:space="preserve">PINS-PROP-MET-406</t>
  </si>
  <si>
    <t xml:space="preserve">Demander une attestation d'imposition ou de non imposition</t>
  </si>
  <si>
    <t xml:space="preserve">PINS-METIER-406</t>
  </si>
  <si>
    <t xml:space="preserve">PINS-PROP-MET-407</t>
  </si>
  <si>
    <t xml:space="preserve">Demander une exonération quinquennale à la contribution foncière</t>
  </si>
  <si>
    <t xml:space="preserve">PINS-METIER-407</t>
  </si>
  <si>
    <t xml:space="preserve">PINS-PROP-MET-408</t>
  </si>
  <si>
    <t xml:space="preserve">Demander un prêt immobilier à la direction de la Monnaie et du Crédit (DMC)</t>
  </si>
  <si>
    <t xml:space="preserve">PINS-METIER-408</t>
  </si>
  <si>
    <t xml:space="preserve">Domaine technique</t>
  </si>
  <si>
    <t xml:space="preserve">Institution détentrice</t>
  </si>
  <si>
    <t xml:space="preserve">Donnée échangée (champs)</t>
  </si>
  <si>
    <t xml:space="preserve">Mode registre</t>
  </si>
  <si>
    <t xml:space="preserve">Type de service</t>
  </si>
  <si>
    <t xml:space="preserve">Criticité estimée</t>
  </si>
  <si>
    <t xml:space="preserve">Parcours métier servis (résumé)</t>
  </si>
  <si>
    <t xml:space="preserve">Doublon logique prod</t>
  </si>
  <si>
    <t xml:space="preserve">Vérification d'existence NINEA</t>
  </si>
  <si>
    <t xml:space="preserve">Identification entreprise</t>
  </si>
  <si>
    <t xml:space="preserve">INST-ANSD</t>
  </si>
  <si>
    <t xml:space="preserve">ninea, raisonSociale, statutJuridique, statutFiscal, dateCreation</t>
  </si>
  <si>
    <t xml:space="preserve">CONSOMME</t>
  </si>
  <si>
    <t xml:space="preserve">Décret NINEA, RGI</t>
  </si>
  <si>
    <t xml:space="preserve">Consultation</t>
  </si>
  <si>
    <t xml:space="preserve">HYPER-CRITIQUE</t>
  </si>
  <si>
    <t xml:space="preserve">Tous les parcours entreprise</t>
  </si>
  <si>
    <t xml:space="preserve">PINS-TECH-1001</t>
  </si>
  <si>
    <t xml:space="preserve">PINS-TECH-0004 (NINEA - en prod)</t>
  </si>
  <si>
    <t xml:space="preserve">PINS-PROP-TECH-002</t>
  </si>
  <si>
    <t xml:space="preserve">Création / attribution d'un nouveau NINEA</t>
  </si>
  <si>
    <t xml:space="preserve">raisonSociale, statutJuridique, secteurActivite, adresseSiege, dirigeants</t>
  </si>
  <si>
    <t xml:space="preserve">CREE</t>
  </si>
  <si>
    <t xml:space="preserve">Décret NINEA</t>
  </si>
  <si>
    <t xml:space="preserve">Génération</t>
  </si>
  <si>
    <t xml:space="preserve">CRITIQUE</t>
  </si>
  <si>
    <t xml:space="preserve">Création d'entreprise</t>
  </si>
  <si>
    <t xml:space="preserve">PINS-TECH-1002</t>
  </si>
  <si>
    <t xml:space="preserve">PINS-PROP-TECH-003</t>
  </si>
  <si>
    <t xml:space="preserve">Mise à jour d'un NINEA existant</t>
  </si>
  <si>
    <t xml:space="preserve">ninea, attributs à mettre à jour</t>
  </si>
  <si>
    <t xml:space="preserve">ALIMENTE</t>
  </si>
  <si>
    <t xml:space="preserve">Mise à jour</t>
  </si>
  <si>
    <t xml:space="preserve">Modification statuts, cessation</t>
  </si>
  <si>
    <t xml:space="preserve">PINS-TECH-1003</t>
  </si>
  <si>
    <t xml:space="preserve">PINS-PROP-TECH-005</t>
  </si>
  <si>
    <t xml:space="preserve">Consultation immatriculation RCCM</t>
  </si>
  <si>
    <t xml:space="preserve">Registre du commerce</t>
  </si>
  <si>
    <t xml:space="preserve">numeroRccm, denomination, formeSociale, capital, dirigeants</t>
  </si>
  <si>
    <t xml:space="preserve">Doing Business, marchés publics, fiscal</t>
  </si>
  <si>
    <t xml:space="preserve">PINS-TECH-1004</t>
  </si>
  <si>
    <t xml:space="preserve">PINS-PROP-TECH-006</t>
  </si>
  <si>
    <t xml:space="preserve">Création / modification RCCM</t>
  </si>
  <si>
    <t xml:space="preserve">actes constitutifs, modifications statutaires</t>
  </si>
  <si>
    <t xml:space="preserve">Création entreprise, modifications, radiation</t>
  </si>
  <si>
    <t xml:space="preserve">PINS-TECH-1005</t>
  </si>
  <si>
    <t xml:space="preserve">Consultation bulletin n°3 du casier judiciaire</t>
  </si>
  <si>
    <t xml:space="preserve">Justice - moralité</t>
  </si>
  <si>
    <t xml:space="preserve">nom, prenoms, date_naissance, lieu_naissance, mentions_bulletin</t>
  </si>
  <si>
    <t xml:space="preserve">Création entreprise (dirigeants), professions réglementées, emploi public</t>
  </si>
  <si>
    <t xml:space="preserve">PINS-TECH-1006</t>
  </si>
  <si>
    <t xml:space="preserve">PINS-PROP-TECH-011</t>
  </si>
  <si>
    <t xml:space="preserve">Vérification de moralité des dirigeants</t>
  </si>
  <si>
    <t xml:space="preserve">identite_dirigeant, statut_moralite</t>
  </si>
  <si>
    <t xml:space="preserve">Code de procédure pénale, acte uniforme OHADA</t>
  </si>
  <si>
    <t xml:space="preserve">Vérification</t>
  </si>
  <si>
    <t xml:space="preserve">Doing Business, agréments sectoriels</t>
  </si>
  <si>
    <t xml:space="preserve">PINS-TECH-1007</t>
  </si>
  <si>
    <t xml:space="preserve">Attestation de non-faillite</t>
  </si>
  <si>
    <t xml:space="preserve">Justice - solvabilité</t>
  </si>
  <si>
    <t xml:space="preserve">ninea, attestation_non_faillite</t>
  </si>
  <si>
    <t xml:space="preserve">MUTUALISÉ</t>
  </si>
  <si>
    <t xml:space="preserve">Marchés publics, agréments</t>
  </si>
  <si>
    <t xml:space="preserve">PINS-TECH-1008</t>
  </si>
  <si>
    <t xml:space="preserve">PINS-PROP-TECH-013</t>
  </si>
  <si>
    <t xml:space="preserve">Vérification de jugement</t>
  </si>
  <si>
    <t xml:space="preserve">reference_dossier, dispositif_jugement</t>
  </si>
  <si>
    <t xml:space="preserve">Code de procédure civile</t>
  </si>
  <si>
    <t xml:space="preserve">USAGE SPÉCIFIQUE</t>
  </si>
  <si>
    <t xml:space="preserve">Certains parcours fiscaux et fonciers</t>
  </si>
  <si>
    <t xml:space="preserve">PINS-TECH-1009</t>
  </si>
  <si>
    <t xml:space="preserve">PINS-PROP-TECH-020</t>
  </si>
  <si>
    <t xml:space="preserve">Attestation de régularité fiscale</t>
  </si>
  <si>
    <t xml:space="preserve">Fiscalité</t>
  </si>
  <si>
    <t xml:space="preserve">ninea, statut_regularite_fiscale, date_emission</t>
  </si>
  <si>
    <t xml:space="preserve">Marchés publics, douanes, transferts internationaux, ARMP</t>
  </si>
  <si>
    <t xml:space="preserve">PINS-TECH-1010</t>
  </si>
  <si>
    <t xml:space="preserve">Quitus fiscal personne physique / morale</t>
  </si>
  <si>
    <t xml:space="preserve">identifiant_contribuable, statut_quitus</t>
  </si>
  <si>
    <t xml:space="preserve">Cessation entreprise, candidatures professionnelles</t>
  </si>
  <si>
    <t xml:space="preserve">PINS-TECH-1011</t>
  </si>
  <si>
    <t xml:space="preserve">PINS-PROP-TECH-022</t>
  </si>
  <si>
    <t xml:space="preserve">Consultation déclarations fiscales et paiements</t>
  </si>
  <si>
    <t xml:space="preserve">ninea, historique_declarations, paiements</t>
  </si>
  <si>
    <t xml:space="preserve">Livre des procédures fiscales</t>
  </si>
  <si>
    <t xml:space="preserve">Recours fiscaux, contrôles, attestations</t>
  </si>
  <si>
    <t xml:space="preserve">PINS-TECH-1012</t>
  </si>
  <si>
    <t xml:space="preserve">PINS-PROP-TECH-023</t>
  </si>
  <si>
    <t xml:space="preserve">Solde du compte fiscal du contribuable</t>
  </si>
  <si>
    <t xml:space="preserve">ninea, solde, dette_fiscale</t>
  </si>
  <si>
    <t xml:space="preserve">Cessation, dossiers de financement</t>
  </si>
  <si>
    <t xml:space="preserve">PINS-TECH-1013</t>
  </si>
  <si>
    <t xml:space="preserve">Vérification d'affiliation CSS</t>
  </si>
  <si>
    <t xml:space="preserve">ninea, numero_css, statut_affiliation</t>
  </si>
  <si>
    <t xml:space="preserve">Création entreprise, marchés publics, recrutement</t>
  </si>
  <si>
    <t xml:space="preserve">PINS-TECH-1014</t>
  </si>
  <si>
    <t xml:space="preserve">PINS-PROP-TECH-031</t>
  </si>
  <si>
    <t xml:space="preserve">Vérification d'affiliation IPRES</t>
  </si>
  <si>
    <t xml:space="preserve">ninea, numero_ipres, statut_affiliation</t>
  </si>
  <si>
    <t xml:space="preserve">Statut IPRES</t>
  </si>
  <si>
    <t xml:space="preserve">REG-IPRES-AFF</t>
  </si>
  <si>
    <t xml:space="preserve">Création entreprise, marchés publics</t>
  </si>
  <si>
    <t xml:space="preserve">PINS-TECH-1015</t>
  </si>
  <si>
    <t xml:space="preserve">PINS-PROP-TECH-032</t>
  </si>
  <si>
    <t xml:space="preserve">Attestation de régularité sociale CSS</t>
  </si>
  <si>
    <t xml:space="preserve">ninea, attestation_regularite_css</t>
  </si>
  <si>
    <t xml:space="preserve">Marchés publics, attestations sociales</t>
  </si>
  <si>
    <t xml:space="preserve">PINS-TECH-1016</t>
  </si>
  <si>
    <t xml:space="preserve">PINS-PROP-TECH-033</t>
  </si>
  <si>
    <t xml:space="preserve">Attestation de régularité IPRES</t>
  </si>
  <si>
    <t xml:space="preserve">ninea, attestation_regularite_ipres</t>
  </si>
  <si>
    <t xml:space="preserve">PINS-TECH-1017</t>
  </si>
  <si>
    <t xml:space="preserve">PINS-PROP-TECH-034</t>
  </si>
  <si>
    <t xml:space="preserve">Déclaration mensuelle des salaires (DUS)</t>
  </si>
  <si>
    <t xml:space="preserve">masse_salariale, salaries_declares</t>
  </si>
  <si>
    <t xml:space="preserve">Code de la sécurité sociale, CGI</t>
  </si>
  <si>
    <t xml:space="preserve">Déclaration sociale unique, CFCE</t>
  </si>
  <si>
    <t xml:space="preserve">PINS-TECH-1018</t>
  </si>
  <si>
    <t xml:space="preserve">PINS-PROP-TECH-035</t>
  </si>
  <si>
    <t xml:space="preserve">Historique des cotisations sociales</t>
  </si>
  <si>
    <t xml:space="preserve">ninea, historique_cotisations</t>
  </si>
  <si>
    <t xml:space="preserve">Code de la sécurité sociale, statut IPRES</t>
  </si>
  <si>
    <t xml:space="preserve">Recours, contentieux</t>
  </si>
  <si>
    <t xml:space="preserve">PINS-TECH-1019</t>
  </si>
  <si>
    <t xml:space="preserve">PINS-PROP-TECH-040</t>
  </si>
  <si>
    <t xml:space="preserve">Consultation d'acte de naissance</t>
  </si>
  <si>
    <t xml:space="preserve">numero_acte, nom, prenoms, date_naissance, lieu_naissance, filiation</t>
  </si>
  <si>
    <t xml:space="preserve">Identité, scolarité, CNI, passeport, mariage</t>
  </si>
  <si>
    <t xml:space="preserve">PINS-TECH-1020</t>
  </si>
  <si>
    <t xml:space="preserve">PINS-PROP-TECH-041</t>
  </si>
  <si>
    <t xml:space="preserve">Consultation d'acte de mariage</t>
  </si>
  <si>
    <t xml:space="preserve">numero_acte, conjoints, date, lieu, regime_matrimonial</t>
  </si>
  <si>
    <t xml:space="preserve">Successions, fiscalité, identité</t>
  </si>
  <si>
    <t xml:space="preserve">PINS-TECH-1021</t>
  </si>
  <si>
    <t xml:space="preserve">PINS-PROP-TECH-042</t>
  </si>
  <si>
    <t xml:space="preserve">Consultation d'acte de décès</t>
  </si>
  <si>
    <t xml:space="preserve">numero_acte, identite_defunt, date, lieu</t>
  </si>
  <si>
    <t xml:space="preserve">Successions, pensions, radiation</t>
  </si>
  <si>
    <t xml:space="preserve">PINS-TECH-1022</t>
  </si>
  <si>
    <t xml:space="preserve">Vérification d'identité d'un citoyen</t>
  </si>
  <si>
    <t xml:space="preserve">Identité</t>
  </si>
  <si>
    <t xml:space="preserve">nin, identite_complete, statut_etat_civil</t>
  </si>
  <si>
    <t xml:space="preserve">Loi sur l'identité, code de la famille</t>
  </si>
  <si>
    <t xml:space="preserve">Quasi tous les parcours particulier</t>
  </si>
  <si>
    <t xml:space="preserve">PINS-TECH-1023</t>
  </si>
  <si>
    <t xml:space="preserve">Génération / consultation CNI / passeport</t>
  </si>
  <si>
    <t xml:space="preserve">nin, numero_cni, numero_passeport, biométrie</t>
  </si>
  <si>
    <t xml:space="preserve">Loi sur l'identité</t>
  </si>
  <si>
    <t xml:space="preserve">Identité, passeport, titre de séjour</t>
  </si>
  <si>
    <t xml:space="preserve">PINS-TECH-1024</t>
  </si>
  <si>
    <t xml:space="preserve">PINS-PROP-TECH-050</t>
  </si>
  <si>
    <t xml:space="preserve">Consultation RNU - vulnérabilité d'un ménage</t>
  </si>
  <si>
    <t xml:space="preserve">identifiant_menage, score_vulnerabilite, composition_menage</t>
  </si>
  <si>
    <t xml:space="preserve">BSF, CMU, logement social, bourses</t>
  </si>
  <si>
    <t xml:space="preserve">PINS-TECH-1025</t>
  </si>
  <si>
    <t xml:space="preserve">PINS-TECH-0001 (Vérification RNU - en prod)</t>
  </si>
  <si>
    <t xml:space="preserve">PINS-PROP-TECH-051</t>
  </si>
  <si>
    <t xml:space="preserve">Vérification d'éligibilité d'un bénéficiaire RNU</t>
  </si>
  <si>
    <t xml:space="preserve">identifiant_menage, programme_cible, statut_eligibilite</t>
  </si>
  <si>
    <t xml:space="preserve">Décret RNU et BSF</t>
  </si>
  <si>
    <t xml:space="preserve">BSF, programmes sociaux</t>
  </si>
  <si>
    <t xml:space="preserve">PINS-TECH-1026</t>
  </si>
  <si>
    <t xml:space="preserve">PINS-PROP-TECH-052</t>
  </si>
  <si>
    <t xml:space="preserve">Inscription / mise à jour RNU</t>
  </si>
  <si>
    <t xml:space="preserve">données enquête sociale, composition, revenus</t>
  </si>
  <si>
    <t xml:space="preserve">Inscription au RNU, programmes sociaux</t>
  </si>
  <si>
    <t xml:space="preserve">PINS-TECH-1027</t>
  </si>
  <si>
    <t xml:space="preserve">Vérification du statut d'opérateur du commerce extérieur</t>
  </si>
  <si>
    <t xml:space="preserve">ninea, statut_operateur, regime_douanier</t>
  </si>
  <si>
    <t xml:space="preserve">Import/export, immatriculation véhicule, agréments</t>
  </si>
  <si>
    <t xml:space="preserve">PINS-TECH-1028</t>
  </si>
  <si>
    <t xml:space="preserve">PINS-PROP-TECH-061</t>
  </si>
  <si>
    <t xml:space="preserve">Consultation déclarations douanières</t>
  </si>
  <si>
    <t xml:space="preserve">numero_dau, historique</t>
  </si>
  <si>
    <t xml:space="preserve">Contrôles, contentieux</t>
  </si>
  <si>
    <t xml:space="preserve">PINS-TECH-1029</t>
  </si>
  <si>
    <t xml:space="preserve">PINS-TECH-0002 (Déclarations GAINDE - en prod)</t>
  </si>
  <si>
    <t xml:space="preserve">PINS-PROP-TECH-062</t>
  </si>
  <si>
    <t xml:space="preserve">Quitus douanier</t>
  </si>
  <si>
    <t xml:space="preserve">ninea, attestation_quitus_douanier</t>
  </si>
  <si>
    <t xml:space="preserve">Cessation, agréments commerciaux</t>
  </si>
  <si>
    <t xml:space="preserve">PINS-TECH-1030</t>
  </si>
  <si>
    <t xml:space="preserve">Consultation cadastrale</t>
  </si>
  <si>
    <t xml:space="preserve">Foncier</t>
  </si>
  <si>
    <t xml:space="preserve">reference_cadastrale, localisation, nature</t>
  </si>
  <si>
    <t xml:space="preserve">Permis de construire, baux, titres fonciers</t>
  </si>
  <si>
    <t xml:space="preserve">PINS-TECH-1031</t>
  </si>
  <si>
    <t xml:space="preserve">PINS-PROP-TECH-071</t>
  </si>
  <si>
    <t xml:space="preserve">Vérification de droits réels sur un immeuble</t>
  </si>
  <si>
    <t xml:space="preserve">titre_foncier, proprietaire, charges, servitudes</t>
  </si>
  <si>
    <t xml:space="preserve">REG-TITRES</t>
  </si>
  <si>
    <t xml:space="preserve">Crédits hypothécaires, baux, contentieux</t>
  </si>
  <si>
    <t xml:space="preserve">PINS-TECH-1032</t>
  </si>
  <si>
    <t xml:space="preserve">PINS-PROP-TECH-072</t>
  </si>
  <si>
    <t xml:space="preserve">Consultation d'un titre foncier</t>
  </si>
  <si>
    <t xml:space="preserve">numero_titre, descriptif, historique</t>
  </si>
  <si>
    <t xml:space="preserve">Permis de construire, baux</t>
  </si>
  <si>
    <t xml:space="preserve">PINS-TECH-1033</t>
  </si>
  <si>
    <t xml:space="preserve">Vérification d'un diplôme</t>
  </si>
  <si>
    <t xml:space="preserve">identifiant_etudiant, intitule_diplome, annee, etablissement</t>
  </si>
  <si>
    <t xml:space="preserve">Décret sur la délivrance des diplômes</t>
  </si>
  <si>
    <t xml:space="preserve">Inscription ordres pro, marchés publics, emploi</t>
  </si>
  <si>
    <t xml:space="preserve">PINS-TECH-1034</t>
  </si>
  <si>
    <t xml:space="preserve">PINS-PROP-TECH-081</t>
  </si>
  <si>
    <t xml:space="preserve">Consultation inscription CAMPUSEN</t>
  </si>
  <si>
    <t xml:space="preserve">identifiant_etudiant, affectation, semestres</t>
  </si>
  <si>
    <t xml:space="preserve">Décret orientation universitaire</t>
  </si>
  <si>
    <t xml:space="preserve">REG-CAMPUSEN</t>
  </si>
  <si>
    <t xml:space="preserve">Bourses, équivalences</t>
  </si>
  <si>
    <t xml:space="preserve">PINS-TECH-1035</t>
  </si>
  <si>
    <t xml:space="preserve">PINS-PROP-TECH-082</t>
  </si>
  <si>
    <t xml:space="preserve">Vérification de bourse étudiante</t>
  </si>
  <si>
    <t xml:space="preserve">identifiant_etudiant, statut_bourse, montant</t>
  </si>
  <si>
    <t xml:space="preserve">Bourses, paiement, contentieux</t>
  </si>
  <si>
    <t xml:space="preserve">PINS-TECH-1036</t>
  </si>
  <si>
    <t xml:space="preserve">PINS-PROP-TECH-090</t>
  </si>
  <si>
    <t xml:space="preserve">Vérification d'affiliation CMU</t>
  </si>
  <si>
    <t xml:space="preserve">identifiant_assure, statut_affiliation</t>
  </si>
  <si>
    <t xml:space="preserve">Loi CMU</t>
  </si>
  <si>
    <t xml:space="preserve">Soins, évacuations, RNU</t>
  </si>
  <si>
    <t xml:space="preserve">PINS-TECH-1037</t>
  </si>
  <si>
    <t xml:space="preserve">Consultation dossier santé (futur)</t>
  </si>
  <si>
    <t xml:space="preserve">dossier_medical (selon habilitation)</t>
  </si>
  <si>
    <t xml:space="preserve">Code de déontologie médicale, RGPD</t>
  </si>
  <si>
    <t xml:space="preserve">Évacuations, parcours santé</t>
  </si>
  <si>
    <t xml:space="preserve">PINS-TECH-1038</t>
  </si>
  <si>
    <t xml:space="preserve">PINS-PROP-TECH-100</t>
  </si>
  <si>
    <t xml:space="preserve">Vérification d'un permis de conduire</t>
  </si>
  <si>
    <t xml:space="preserve">numero_permis, identite, categories, validite</t>
  </si>
  <si>
    <t xml:space="preserve">REG-PERMIS</t>
  </si>
  <si>
    <t xml:space="preserve">Emploi conducteur, contrôles, location</t>
  </si>
  <si>
    <t xml:space="preserve">PINS-TECH-1039</t>
  </si>
  <si>
    <t xml:space="preserve">PINS-PROP-TECH-101</t>
  </si>
  <si>
    <t xml:space="preserve">Vérification d'immatriculation d'un véhicule</t>
  </si>
  <si>
    <t xml:space="preserve">numero_immat, proprietaire, caracteristiques</t>
  </si>
  <si>
    <t xml:space="preserve">Visite technique, assurance, transfert</t>
  </si>
  <si>
    <t xml:space="preserve">PINS-TECH-1040</t>
  </si>
  <si>
    <t xml:space="preserve">PINS-PROP-TECH-102</t>
  </si>
  <si>
    <t xml:space="preserve">Vérification de visite technique</t>
  </si>
  <si>
    <t xml:space="preserve">numero_immat, statut_visite, date_validite</t>
  </si>
  <si>
    <t xml:space="preserve">Immatriculation, assurance</t>
  </si>
  <si>
    <t xml:space="preserve">PINS-TECH-1041</t>
  </si>
  <si>
    <t xml:space="preserve">PINS-PROP-TECH-110</t>
  </si>
  <si>
    <t xml:space="preserve">Notification de paiement / encaissement DGCPT</t>
  </si>
  <si>
    <t xml:space="preserve">Paiements publics</t>
  </si>
  <si>
    <t xml:space="preserve">reference_recette, montant, contribuable</t>
  </si>
  <si>
    <t xml:space="preserve">Règlement général comptabilité publique</t>
  </si>
  <si>
    <t xml:space="preserve">Notification</t>
  </si>
  <si>
    <t xml:space="preserve">Tous les parcours impliquant paiement</t>
  </si>
  <si>
    <t xml:space="preserve">PINS-TECH-1042</t>
  </si>
  <si>
    <t xml:space="preserve">PINS-PROP-TECH-111</t>
  </si>
  <si>
    <t xml:space="preserve">Génération d'un avis de versement</t>
  </si>
  <si>
    <t xml:space="preserve">reference, montant, beneficiaire</t>
  </si>
  <si>
    <t xml:space="preserve">Paiements publics, bourses, BSF</t>
  </si>
  <si>
    <t xml:space="preserve">PINS-TECH-1043</t>
  </si>
  <si>
    <t xml:space="preserve">PINS-PROP-TECH-112</t>
  </si>
  <si>
    <t xml:space="preserve">Consultation des paiements d'un contribuable</t>
  </si>
  <si>
    <t xml:space="preserve">ninea, paiements_effectues</t>
  </si>
  <si>
    <t xml:space="preserve">Contentieux, audits</t>
  </si>
  <si>
    <t xml:space="preserve">PINS-TECH-1044</t>
  </si>
  <si>
    <t xml:space="preserve">PINS-PROP-TECH-120</t>
  </si>
  <si>
    <t xml:space="preserve">Notification SMS / push transverse</t>
  </si>
  <si>
    <t xml:space="preserve">Transverse - notification</t>
  </si>
  <si>
    <t xml:space="preserve">INST-SENUM</t>
  </si>
  <si>
    <t xml:space="preserve">destinataire, contenu_notification</t>
  </si>
  <si>
    <t xml:space="preserve">Convention SENUM</t>
  </si>
  <si>
    <t xml:space="preserve">Tous les parcours nécessitant notification</t>
  </si>
  <si>
    <t xml:space="preserve">INFRASTRUCTURE_NUMERIQUE</t>
  </si>
  <si>
    <t xml:space="preserve">PINS-TECH-1045</t>
  </si>
  <si>
    <t xml:space="preserve">PINS-PROP-TECH-121</t>
  </si>
  <si>
    <t xml:space="preserve">Notification email transverse</t>
  </si>
  <si>
    <t xml:space="preserve">destinataire_email, contenu</t>
  </si>
  <si>
    <t xml:space="preserve">Tous les parcours</t>
  </si>
  <si>
    <t xml:space="preserve">PINS-TECH-1046</t>
  </si>
  <si>
    <t xml:space="preserve">PINS-PROP-TECH-122</t>
  </si>
  <si>
    <t xml:space="preserve">Signature électronique qualifiée</t>
  </si>
  <si>
    <t xml:space="preserve">Transverse - confiance</t>
  </si>
  <si>
    <t xml:space="preserve">document_signe, certificat</t>
  </si>
  <si>
    <t xml:space="preserve">Loi sur les transactions électroniques</t>
  </si>
  <si>
    <t xml:space="preserve">Marchés publics, contrats, attestations</t>
  </si>
  <si>
    <t xml:space="preserve">PINS-TECH-1047</t>
  </si>
  <si>
    <t xml:space="preserve">PINS-PROP-TECH-123</t>
  </si>
  <si>
    <t xml:space="preserve">Horodatage qualifié</t>
  </si>
  <si>
    <t xml:space="preserve">document, horodatage</t>
  </si>
  <si>
    <t xml:space="preserve">Procédures dématérialisées</t>
  </si>
  <si>
    <t xml:space="preserve">PINS-TECH-1048</t>
  </si>
  <si>
    <t xml:space="preserve">PINS-PROP-TECH-124</t>
  </si>
  <si>
    <t xml:space="preserve">Vérification d'une signature électronique</t>
  </si>
  <si>
    <t xml:space="preserve">signature, validite</t>
  </si>
  <si>
    <t xml:space="preserve">Validation administrative des dossiers</t>
  </si>
  <si>
    <t xml:space="preserve">PINS-TECH-1049</t>
  </si>
  <si>
    <t xml:space="preserve">PINS-PROP-TECH-130</t>
  </si>
  <si>
    <t xml:space="preserve">Authentification SénégalConnect</t>
  </si>
  <si>
    <t xml:space="preserve">identifiant_eid, jeton, scopes</t>
  </si>
  <si>
    <t xml:space="preserve">Authentification</t>
  </si>
  <si>
    <t xml:space="preserve">REG-EID</t>
  </si>
  <si>
    <t xml:space="preserve">Tous les services en ligne</t>
  </si>
  <si>
    <t xml:space="preserve">PINS-TECH-1050</t>
  </si>
  <si>
    <t xml:space="preserve">PINS-PROP-TECH-131</t>
  </si>
  <si>
    <t xml:space="preserve">Génération d'un identifiant numérique unique</t>
  </si>
  <si>
    <t xml:space="preserve">donnees_identite, identifiant_eid</t>
  </si>
  <si>
    <t xml:space="preserve">REG-EID, REG-NIN</t>
  </si>
  <si>
    <t xml:space="preserve">Création compte citoyen, entreprise</t>
  </si>
  <si>
    <t xml:space="preserve">PINS-TECH-1051</t>
  </si>
  <si>
    <t xml:space="preserve">PINS-PROP-TECH-140</t>
  </si>
  <si>
    <t xml:space="preserve">Référentiel territorial (régions, départements, communes)</t>
  </si>
  <si>
    <t xml:space="preserve">Référentiel</t>
  </si>
  <si>
    <t xml:space="preserve">code_geo, libelle, hierarchie</t>
  </si>
  <si>
    <t xml:space="preserve">Décret découpage administratif</t>
  </si>
  <si>
    <t xml:space="preserve">REG-TERRITOIRE</t>
  </si>
  <si>
    <t xml:space="preserve">Quasi tous les parcours</t>
  </si>
  <si>
    <t xml:space="preserve">PINS-TECH-1052</t>
  </si>
  <si>
    <t xml:space="preserve">PINS-PROP-TECH-141</t>
  </si>
  <si>
    <t xml:space="preserve">Référentiel des collectivités territoriales</t>
  </si>
  <si>
    <t xml:space="preserve">collectivites, communes, statuts</t>
  </si>
  <si>
    <t xml:space="preserve">Code des collectivités</t>
  </si>
  <si>
    <t xml:space="preserve">État civil, urbanisme, fiscalité locale</t>
  </si>
  <si>
    <t xml:space="preserve">PINS-TECH-1053</t>
  </si>
  <si>
    <t xml:space="preserve">Code métier</t>
  </si>
  <si>
    <t xml:space="preserve">Titre métier</t>
  </si>
  <si>
    <t xml:space="preserve">Code technique</t>
  </si>
  <si>
    <t xml:space="preserve">Titre technique</t>
  </si>
  <si>
    <t xml:space="preserve">Ordre dans parcours</t>
  </si>
  <si>
    <t xml:space="preserve">Étape obligatoire</t>
  </si>
  <si>
    <t xml:space="preserve">Commentaire</t>
  </si>
  <si>
    <t xml:space="preserve">OUI</t>
  </si>
  <si>
    <t xml:space="preserve">CONDITIONNELLE</t>
  </si>
  <si>
    <t xml:space="preserve">Code registre</t>
  </si>
  <si>
    <t xml:space="preserve">Nom</t>
  </si>
  <si>
    <t xml:space="preserve">Détenteur</t>
  </si>
  <si>
    <t xml:space="preserve">Type</t>
  </si>
  <si>
    <t xml:space="preserve">Statut exposition PINS</t>
  </si>
  <si>
    <t xml:space="preserve">Nb cas d'usage techniques associés</t>
  </si>
  <si>
    <t xml:space="preserve">Modes d'usage observés</t>
  </si>
  <si>
    <t xml:space="preserve">Numéro d'Identification National des Entreprises et Associations</t>
  </si>
  <si>
    <t xml:space="preserve">Identifiant</t>
  </si>
  <si>
    <t xml:space="preserve">Partiellement exposé MVP 1.0</t>
  </si>
  <si>
    <t xml:space="preserve">ALIMENTE, CONSOMME, CREE</t>
  </si>
  <si>
    <t xml:space="preserve">Registre du Commerce et du Crédit Mobilier</t>
  </si>
  <si>
    <t xml:space="preserve">Registre juridique</t>
  </si>
  <si>
    <t xml:space="preserve">Non exposé - à cadrer</t>
  </si>
  <si>
    <t xml:space="preserve">CONSOMME, CREE</t>
  </si>
  <si>
    <t xml:space="preserve">Casier Judiciaire National</t>
  </si>
  <si>
    <t xml:space="preserve">Registre judiciaire</t>
  </si>
  <si>
    <t xml:space="preserve">Non exposé - refus MJ en cours</t>
  </si>
  <si>
    <t xml:space="preserve">Registre National Unique des bénéficiaires sociaux</t>
  </si>
  <si>
    <t xml:space="preserve">Registre social</t>
  </si>
  <si>
    <t xml:space="preserve">Exposé MVP 1.0</t>
  </si>
  <si>
    <t xml:space="preserve">ALIMENTE, CONSOMME</t>
  </si>
  <si>
    <t xml:space="preserve">Numéro d'Identification National (carte d'identité)</t>
  </si>
  <si>
    <t xml:space="preserve">Non exposé</t>
  </si>
  <si>
    <t xml:space="preserve">Registre national de l'État Civil</t>
  </si>
  <si>
    <t xml:space="preserve">Registre</t>
  </si>
  <si>
    <t xml:space="preserve">En cours d'unification (RNEC)</t>
  </si>
  <si>
    <t xml:space="preserve">Cadastre national</t>
  </si>
  <si>
    <t xml:space="preserve">Registre foncier</t>
  </si>
  <si>
    <t xml:space="preserve">Livre foncier - Titres fonciers</t>
  </si>
  <si>
    <t xml:space="preserve">Compte fiscal contribuable</t>
  </si>
  <si>
    <t xml:space="preserve">Registre fiscal</t>
  </si>
  <si>
    <t xml:space="preserve">Partiellement exposé</t>
  </si>
  <si>
    <t xml:space="preserve">Référentiel des opérateurs du commerce extérieur</t>
  </si>
  <si>
    <t xml:space="preserve">Registre douanier</t>
  </si>
  <si>
    <t xml:space="preserve">Registre des affiliés CSS</t>
  </si>
  <si>
    <t xml:space="preserve">Registre des cotisants IPRES</t>
  </si>
  <si>
    <t xml:space="preserve">REG-FNR-AFF</t>
  </si>
  <si>
    <t xml:space="preserve">Registre des affiliés FNR</t>
  </si>
  <si>
    <t xml:space="preserve">—</t>
  </si>
  <si>
    <t xml:space="preserve">Registre des bénéficiaires CMU</t>
  </si>
  <si>
    <t xml:space="preserve">Registre santé</t>
  </si>
  <si>
    <t xml:space="preserve">Référentiel national des diplômes</t>
  </si>
  <si>
    <t xml:space="preserve">Registre éducation</t>
  </si>
  <si>
    <t xml:space="preserve">Base CAMPUSEN - étudiants</t>
  </si>
  <si>
    <t xml:space="preserve">Registre des permis de conduire</t>
  </si>
  <si>
    <t xml:space="preserve">Registre transport</t>
  </si>
  <si>
    <t xml:space="preserve">Registre des véhicules immatriculés</t>
  </si>
  <si>
    <t xml:space="preserve">Répertoire des opérateurs économiques ARMP</t>
  </si>
  <si>
    <t xml:space="preserve">Registre marchés</t>
  </si>
  <si>
    <t xml:space="preserve">Registre des associations et ONG</t>
  </si>
  <si>
    <t xml:space="preserve">Référentiel administratif territorial (régions, départements, communes)</t>
  </si>
  <si>
    <t xml:space="preserve">REG-EMPLOI</t>
  </si>
  <si>
    <t xml:space="preserve">Registre national de l'emploi - ANPEJ</t>
  </si>
  <si>
    <t xml:space="preserve">Registre emploi</t>
  </si>
  <si>
    <t xml:space="preserve">REG-PROFLIB</t>
  </si>
  <si>
    <t xml:space="preserve">Tableaux des ordres professionnels</t>
  </si>
  <si>
    <t xml:space="preserve">Registre professionnel</t>
  </si>
  <si>
    <t xml:space="preserve">Identifiant électronique SénégalConnect</t>
  </si>
  <si>
    <t xml:space="preserve">MVP 1.0</t>
  </si>
  <si>
    <t xml:space="preserve">Nom complet</t>
  </si>
  <si>
    <t xml:space="preserve">Sigle</t>
  </si>
  <si>
    <t xml:space="preserve">Mission courte</t>
  </si>
  <si>
    <t xml:space="preserve">Nb cas d'usage métier (coordinatrice)</t>
  </si>
  <si>
    <t xml:space="preserve">Nb cas d'usage technique (détentrice)</t>
  </si>
  <si>
    <t xml:space="preserve">Agence pour la Promotion de l'Investissement et des Grands Travaux</t>
  </si>
  <si>
    <t xml:space="preserve">APIX</t>
  </si>
  <si>
    <t xml:space="preserve">Agence</t>
  </si>
  <si>
    <t xml:space="preserve">Guichet unique création entreprise et investissement</t>
  </si>
  <si>
    <t xml:space="preserve">Direction Générale des Impôts et Domaines</t>
  </si>
  <si>
    <t xml:space="preserve">DGID</t>
  </si>
  <si>
    <t xml:space="preserve">Direction</t>
  </si>
  <si>
    <t xml:space="preserve">Fiscalité, NINEA fiscal, cadastre, foncier</t>
  </si>
  <si>
    <t xml:space="preserve">Direction Générale des Douanes</t>
  </si>
  <si>
    <t xml:space="preserve">DGD</t>
  </si>
  <si>
    <t xml:space="preserve">Commerce extérieur, droits et taxes</t>
  </si>
  <si>
    <t xml:space="preserve">Direction Générale de la Comptabilité Publique et du Trésor</t>
  </si>
  <si>
    <t xml:space="preserve">DGCPT</t>
  </si>
  <si>
    <t xml:space="preserve">Recettes et paiements publics</t>
  </si>
  <si>
    <t xml:space="preserve">Agence Nationale de la Statistique et de la Démographie</t>
  </si>
  <si>
    <t xml:space="preserve">ANSD</t>
  </si>
  <si>
    <t xml:space="preserve">NINEA, statistiques, registre des entreprises</t>
  </si>
  <si>
    <t xml:space="preserve">Greffe du Tribunal de Commerce - Ministère de la Justice</t>
  </si>
  <si>
    <t xml:space="preserve">Greffe</t>
  </si>
  <si>
    <t xml:space="preserve">Juridiction</t>
  </si>
  <si>
    <t xml:space="preserve">RCCM, dépôt des comptes, non-faillite</t>
  </si>
  <si>
    <t xml:space="preserve">Casier Judiciaire National - Ministère de la Justice</t>
  </si>
  <si>
    <t xml:space="preserve">MJ-Casier</t>
  </si>
  <si>
    <t xml:space="preserve">Extrait casier judiciaire B1/B3</t>
  </si>
  <si>
    <t xml:space="preserve">Direction des Affaires Civiles et du Sceau</t>
  </si>
  <si>
    <t xml:space="preserve">MJ-DACS</t>
  </si>
  <si>
    <t xml:space="preserve">Nationalité, état civil judiciaire</t>
  </si>
  <si>
    <t xml:space="preserve">Caisse de Sécurité Sociale</t>
  </si>
  <si>
    <t xml:space="preserve">CSS</t>
  </si>
  <si>
    <t xml:space="preserve">Caisse</t>
  </si>
  <si>
    <t xml:space="preserve">Sécurité sociale salariés, accidents du travail</t>
  </si>
  <si>
    <t xml:space="preserve">Institution de Prévoyance Retraite du Sénégal</t>
  </si>
  <si>
    <t xml:space="preserve">IPRES</t>
  </si>
  <si>
    <t xml:space="preserve">Retraite des travailleurs du privé</t>
  </si>
  <si>
    <t xml:space="preserve">Fonds National de Retraite</t>
  </si>
  <si>
    <t xml:space="preserve">FNR</t>
  </si>
  <si>
    <t xml:space="preserve">Retraite des agents de l'État</t>
  </si>
  <si>
    <t xml:space="preserve">Direction Générale de la Fonction Publique</t>
  </si>
  <si>
    <t xml:space="preserve">DGFP</t>
  </si>
  <si>
    <t xml:space="preserve">Gestion des agents publics</t>
  </si>
  <si>
    <t xml:space="preserve">Direction Générale de l'État Civil</t>
  </si>
  <si>
    <t xml:space="preserve">DGEC</t>
  </si>
  <si>
    <t xml:space="preserve">État civil national, registres communaux</t>
  </si>
  <si>
    <t xml:space="preserve">Délégation Générale à la Protection Sociale et à la Solidarité Nationale</t>
  </si>
  <si>
    <t xml:space="preserve">DGPSN</t>
  </si>
  <si>
    <t xml:space="preserve">Délégation</t>
  </si>
  <si>
    <t xml:space="preserve">RNU, bourses sociales, CMU sociale</t>
  </si>
  <si>
    <t xml:space="preserve">Agence de la Couverture Maladie Universelle</t>
  </si>
  <si>
    <t xml:space="preserve">Agence CMU</t>
  </si>
  <si>
    <t xml:space="preserve">Affiliation CMU et carte santé</t>
  </si>
  <si>
    <t xml:space="preserve">Ministère de la Santé et de l'Action Sociale</t>
  </si>
  <si>
    <t xml:space="preserve">MSAS</t>
  </si>
  <si>
    <t xml:space="preserve">Ministère</t>
  </si>
  <si>
    <t xml:space="preserve">Santé, dossier médical, évacuation</t>
  </si>
  <si>
    <t xml:space="preserve">Ministère de l'Éducation Nationale</t>
  </si>
  <si>
    <t xml:space="preserve">MEN</t>
  </si>
  <si>
    <t xml:space="preserve">Enseignement préscolaire, primaire, secondaire</t>
  </si>
  <si>
    <t xml:space="preserve">Ministère de l'Enseignement Supérieur, Recherche et Innovation</t>
  </si>
  <si>
    <t xml:space="preserve">MESRI</t>
  </si>
  <si>
    <t xml:space="preserve">Universités, équivalences, bourses</t>
  </si>
  <si>
    <t xml:space="preserve">Direction Générale de l'Enseignement Supérieur</t>
  </si>
  <si>
    <t xml:space="preserve">DGES</t>
  </si>
  <si>
    <t xml:space="preserve">Bourses, équivalences, orientation</t>
  </si>
  <si>
    <t xml:space="preserve">Plateforme nationale CAMPUSEN</t>
  </si>
  <si>
    <t xml:space="preserve">CAMPUSEN</t>
  </si>
  <si>
    <t xml:space="preserve">Plateforme</t>
  </si>
  <si>
    <t xml:space="preserve">Orientation et inscription universitaire</t>
  </si>
  <si>
    <t xml:space="preserve">Agence Nationale pour la Promotion de l'Emploi des Jeunes</t>
  </si>
  <si>
    <t xml:space="preserve">ANPEJ</t>
  </si>
  <si>
    <t xml:space="preserve">Insertion professionnelle</t>
  </si>
  <si>
    <t xml:space="preserve">INST-DGEFP</t>
  </si>
  <si>
    <t xml:space="preserve">Direction Générale de l'Emploi et de la Formation Professionnelle</t>
  </si>
  <si>
    <t xml:space="preserve">DGEFP</t>
  </si>
  <si>
    <t xml:space="preserve">Travail, contrats, FNE</t>
  </si>
  <si>
    <t xml:space="preserve">Direction de l'Automatisation des Fichiers</t>
  </si>
  <si>
    <t xml:space="preserve">DAF</t>
  </si>
  <si>
    <t xml:space="preserve">Carte nationale d'identité, passeport</t>
  </si>
  <si>
    <t xml:space="preserve">Direction Générale de la Police Nationale</t>
  </si>
  <si>
    <t xml:space="preserve">DGPN</t>
  </si>
  <si>
    <t xml:space="preserve">Sécurité publique, police aux frontières</t>
  </si>
  <si>
    <t xml:space="preserve">INST-DGSN</t>
  </si>
  <si>
    <t xml:space="preserve">Direction Générale de la Sûreté Nationale</t>
  </si>
  <si>
    <t xml:space="preserve">DGSN</t>
  </si>
  <si>
    <t xml:space="preserve">Sécurité</t>
  </si>
  <si>
    <t xml:space="preserve">Direction des Transports Terrestres</t>
  </si>
  <si>
    <t xml:space="preserve">DTT</t>
  </si>
  <si>
    <t xml:space="preserve">Permis de conduire, carte grise</t>
  </si>
  <si>
    <t xml:space="preserve">Centre de Contrôle des Véhicules Automobiles</t>
  </si>
  <si>
    <t xml:space="preserve">CCVA</t>
  </si>
  <si>
    <t xml:space="preserve">Centre</t>
  </si>
  <si>
    <t xml:space="preserve">Visite technique des véhicules</t>
  </si>
  <si>
    <t xml:space="preserve">Autorité de Régulation des Marchés Publics</t>
  </si>
  <si>
    <t xml:space="preserve">ARMP</t>
  </si>
  <si>
    <t xml:space="preserve">Autorité</t>
  </si>
  <si>
    <t xml:space="preserve">Régulation marchés publics</t>
  </si>
  <si>
    <t xml:space="preserve">Direction Centrale des Marchés Publics</t>
  </si>
  <si>
    <t xml:space="preserve">DCMP</t>
  </si>
  <si>
    <t xml:space="preserve">Contrôle a priori marchés publics</t>
  </si>
  <si>
    <t xml:space="preserve">Association Sénégalaise de Normalisation</t>
  </si>
  <si>
    <t xml:space="preserve">ASN</t>
  </si>
  <si>
    <t xml:space="preserve">Normes et conformité produits</t>
  </si>
  <si>
    <t xml:space="preserve">Société Nationale d'HLM</t>
  </si>
  <si>
    <t xml:space="preserve">SN-HLM</t>
  </si>
  <si>
    <t xml:space="preserve">Société</t>
  </si>
  <si>
    <t xml:space="preserve">Logement social</t>
  </si>
  <si>
    <t xml:space="preserve">Ministère de l'Urbanisme, du Logement et de l'Hygiène Publique</t>
  </si>
  <si>
    <t xml:space="preserve">MUH</t>
  </si>
  <si>
    <t xml:space="preserve">Urbanisme et habitat</t>
  </si>
  <si>
    <t xml:space="preserve">Ministère de la Culture</t>
  </si>
  <si>
    <t xml:space="preserve">MC</t>
  </si>
  <si>
    <t xml:space="preserve">Autorisations culturelles</t>
  </si>
  <si>
    <t xml:space="preserve">INST-MICS</t>
  </si>
  <si>
    <t xml:space="preserve">Ministère du Commerce et de l'Industrie</t>
  </si>
  <si>
    <t xml:space="preserve">MIC</t>
  </si>
  <si>
    <t xml:space="preserve">Commerce intérieur, agréments industriels</t>
  </si>
  <si>
    <t xml:space="preserve">Ministère des Finances et du Budget</t>
  </si>
  <si>
    <t xml:space="preserve">MFB</t>
  </si>
  <si>
    <t xml:space="preserve">Tutelle DGID, DGCPT, DGD</t>
  </si>
  <si>
    <t xml:space="preserve">INST-BCEAO</t>
  </si>
  <si>
    <t xml:space="preserve">Banque Centrale des États de l'Afrique de l'Ouest</t>
  </si>
  <si>
    <t xml:space="preserve">BCEAO</t>
  </si>
  <si>
    <t xml:space="preserve">Banque centrale</t>
  </si>
  <si>
    <t xml:space="preserve">Centrale des risques, agréments</t>
  </si>
  <si>
    <t xml:space="preserve">INST-OQSF</t>
  </si>
  <si>
    <t xml:space="preserve">Observatoire de la Qualité des Services Financiers</t>
  </si>
  <si>
    <t xml:space="preserve">OQSF</t>
  </si>
  <si>
    <t xml:space="preserve">Observatoire</t>
  </si>
  <si>
    <t xml:space="preserve">Médiation bancaire</t>
  </si>
  <si>
    <t xml:space="preserve">Ministère des Affaires Étrangères et Sénégalais de l'Extérieur</t>
  </si>
  <si>
    <t xml:space="preserve">MAESE</t>
  </si>
  <si>
    <t xml:space="preserve">Visas, état civil consulaire</t>
  </si>
  <si>
    <t xml:space="preserve">Ministère de l'Intérieur</t>
  </si>
  <si>
    <t xml:space="preserve">MINT</t>
  </si>
  <si>
    <t xml:space="preserve">Tutelle DAF, DGPN, associations</t>
  </si>
  <si>
    <t xml:space="preserve">INST-CDP</t>
  </si>
  <si>
    <t xml:space="preserve">Commission de Protection des Données Personnelles</t>
  </si>
  <si>
    <t xml:space="preserve">CDP</t>
  </si>
  <si>
    <t xml:space="preserve">Protection des données</t>
  </si>
  <si>
    <t xml:space="preserve">Autorité de Régulation des Télécoms et des Postes</t>
  </si>
  <si>
    <t xml:space="preserve">ARTP</t>
  </si>
  <si>
    <t xml:space="preserve">Régulation télécoms</t>
  </si>
  <si>
    <t xml:space="preserve">Ministère de la Communication, des Télécommunications et du Numérique Numérique</t>
  </si>
  <si>
    <t xml:space="preserve">MCTN</t>
  </si>
  <si>
    <t xml:space="preserve">Tutelle SENUM, économie numérique</t>
  </si>
  <si>
    <t xml:space="preserve">Société Sénégalaise du Numérique</t>
  </si>
  <si>
    <t xml:space="preserve">SENUM SA</t>
  </si>
  <si>
    <t xml:space="preserve">Opérateur national numérique, DPI</t>
  </si>
  <si>
    <t xml:space="preserve">Direction Générale du Numérique - SENUM SA</t>
  </si>
  <si>
    <t xml:space="preserve">DGNum</t>
  </si>
  <si>
    <t xml:space="preserve">Identité numérique SénégalConnect</t>
  </si>
  <si>
    <t xml:space="preserve">Collectivités territoriales (Communes)</t>
  </si>
  <si>
    <t xml:space="preserve">Communes</t>
  </si>
  <si>
    <t xml:space="preserve">Collectivité</t>
  </si>
  <si>
    <t xml:space="preserve">État civil, urbanisme local</t>
  </si>
  <si>
    <t xml:space="preserve">Ordre National des Experts Comptables et Comptables Agréés</t>
  </si>
  <si>
    <t xml:space="preserve">ONECCA</t>
  </si>
  <si>
    <t xml:space="preserve">Ordre</t>
  </si>
  <si>
    <t xml:space="preserve">Tableau de l'ordre</t>
  </si>
  <si>
    <t xml:space="preserve">INST-ORDRE-AVOC</t>
  </si>
  <si>
    <t xml:space="preserve">Ordre des Avocats du Sénégal</t>
  </si>
  <si>
    <t xml:space="preserve">Ordre Avocats</t>
  </si>
  <si>
    <t xml:space="preserve">Tableau du barreau</t>
  </si>
  <si>
    <t xml:space="preserve">Direction de la Pêche Maritime</t>
  </si>
  <si>
    <t xml:space="preserve">DPM</t>
  </si>
  <si>
    <t xml:space="preserve">Permis de pêche</t>
  </si>
  <si>
    <t xml:space="preserve">Direction des Eaux, Forêts, Chasses et Conservation des Sols</t>
  </si>
  <si>
    <t xml:space="preserve">DEFC</t>
  </si>
  <si>
    <t xml:space="preserve">Permis de chasse, exploitation forestière</t>
  </si>
  <si>
    <t xml:space="preserve">Direction des Mines et de la Géologie</t>
  </si>
  <si>
    <t xml:space="preserve">DMG</t>
  </si>
  <si>
    <t xml:space="preserve">Permis miniers</t>
  </si>
  <si>
    <t xml:space="preserve">INST-DGE</t>
  </si>
  <si>
    <t xml:space="preserve">Direction Générale de l'Énergie</t>
  </si>
  <si>
    <t xml:space="preserve">DGE</t>
  </si>
  <si>
    <t xml:space="preserve">Licences énergie</t>
  </si>
  <si>
    <t xml:space="preserve">Indicateurs portefeuille PINS v4</t>
  </si>
  <si>
    <t xml:space="preserve">Volume</t>
  </si>
  <si>
    <t xml:space="preserve">Cas métier total</t>
  </si>
  <si>
    <t xml:space="preserve">Cas technique total</t>
  </si>
  <si>
    <t xml:space="preserve">Registres</t>
  </si>
  <si>
    <t xml:space="preserve">Institutions</t>
  </si>
  <si>
    <t xml:space="preserve">Relations mapping</t>
  </si>
  <si>
    <t xml:space="preserve">Par origine - métier</t>
  </si>
  <si>
    <t xml:space="preserve">  v2_cadrage</t>
  </si>
  <si>
    <t xml:space="preserve">  esenegal_scraping</t>
  </si>
  <si>
    <t xml:space="preserve">Par segment - métier</t>
  </si>
  <si>
    <t xml:space="preserve">  Professionnel</t>
  </si>
  <si>
    <t xml:space="preserve">  Particulier</t>
  </si>
  <si>
    <t xml:space="preserve">Par maturité - métier</t>
  </si>
  <si>
    <t xml:space="preserve">Par domaine enum - métier</t>
  </si>
  <si>
    <t xml:space="preserve">Démarches e-senegal.sn — référence brute scrapée le 14/05/2026</t>
  </si>
  <si>
    <t xml:space="preserve">401 démarches (104 Pro + 297 Part). Sert de référentiel de traçabilité.</t>
  </si>
  <si>
    <t xml:space="preserve">#</t>
  </si>
  <si>
    <t xml:space="preserve">Titre e-senegal</t>
  </si>
  <si>
    <t xml:space="preserve">Code seed PINS associé</t>
  </si>
  <si>
    <t xml:space="preserve">Demander une autorisation de construire (permis de construire)</t>
  </si>
  <si>
    <t xml:space="preserve">— (doublon v2 ou variante regroupée)</t>
  </si>
  <si>
    <t xml:space="preserve">Demander un certificat de conformité environnementale</t>
  </si>
  <si>
    <t xml:space="preserve">Demander un permis de conduire international</t>
  </si>
  <si>
    <t xml:space="preserve">Se présenter au concours d'entrée à la Faculté des sciences et technologies de l'éducation et de la formation (FASTEF) niveau professeur de l'enseignement secondaire (PES)</t>
  </si>
  <si>
    <t xml:space="preserve">S'inscrire aux concours de sous-officier de paix de la police</t>
  </si>
  <si>
    <t xml:space="preserve">Demander un classement de diplôme ou une équivalence de diplôme</t>
  </si>
  <si>
    <t xml:space="preserve">Demander un certificat de résidence</t>
  </si>
  <si>
    <t xml:space="preserve">Demander le renouvellement de la carte grise ou le certificat d'immatriculation et d'aptitude technique</t>
  </si>
  <si>
    <t xml:space="preserve">Effectuer la visite technique</t>
  </si>
  <si>
    <t xml:space="preserve">Demander un extrait du bulletin n° 2 du casier judiciaire</t>
  </si>
  <si>
    <t xml:space="preserve">Demander de carte d'affiliation et de vérification de situation à l'Institution de prévoyance retraite du Sénégal (IPRES)</t>
  </si>
  <si>
    <t xml:space="preserve">Demander une substitution de parcelle à la Société nationale des habitations à loyer modéré (SN-HLM)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</si>
</sst>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C1F3A"/>
      <name val="Arial"/>
      <family val="0"/>
      <charset val="1"/>
    </font>
    <font>
      <i val="true"/>
      <sz val="11"/>
      <color rgb="FF0A6B6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A6B68"/>
      <name val="Arial"/>
      <family val="0"/>
      <charset val="1"/>
    </font>
    <font>
      <sz val="9"/>
      <color rgb="FFC55A18"/>
      <name val="Arial"/>
      <family val="0"/>
      <charset val="1"/>
    </font>
    <font>
      <b val="true"/>
      <sz val="11"/>
      <color rgb="FF0C1F3A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2"/>
      <color rgb="FF0C1F3A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C1F3A"/>
        <bgColor rgb="FF003300"/>
      </patternFill>
    </fill>
    <fill>
      <patternFill patternType="solid">
        <fgColor rgb="FF0A6B68"/>
        <bgColor rgb="FF008080"/>
      </patternFill>
    </fill>
    <fill>
      <patternFill patternType="solid">
        <fgColor rgb="FFD4A820"/>
        <bgColor rgb="FFFF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6B68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820"/>
      <rgbColor rgb="FFC55A18"/>
      <rgbColor rgb="FF666699"/>
      <rgbColor rgb="FF969696"/>
      <rgbColor rgb="FF0C1F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15" hidden="false" customHeight="false" outlineLevel="0" collapsed="false">
      <c r="A5" s="3" t="s">
        <v>2</v>
      </c>
      <c r="B5" s="4" t="s">
        <v>3</v>
      </c>
    </row>
    <row r="6" customFormat="false" ht="15" hidden="false" customHeight="false" outlineLevel="0" collapsed="false">
      <c r="A6" s="3" t="s">
        <v>4</v>
      </c>
      <c r="B6" s="4" t="s">
        <v>5</v>
      </c>
    </row>
    <row r="7" customFormat="false" ht="15" hidden="false" customHeight="false" outlineLevel="0" collapsed="false">
      <c r="A7" s="3" t="s">
        <v>6</v>
      </c>
      <c r="B7" s="4" t="s">
        <v>7</v>
      </c>
    </row>
    <row r="9" customFormat="false" ht="15" hidden="false" customHeight="false" outlineLevel="0" collapsed="false">
      <c r="A9" s="3" t="s">
        <v>8</v>
      </c>
      <c r="B9" s="4"/>
    </row>
    <row r="10" customFormat="false" ht="15" hidden="false" customHeight="false" outlineLevel="0" collapsed="false">
      <c r="A10" s="4" t="s">
        <v>9</v>
      </c>
      <c r="B10" s="4" t="s">
        <v>10</v>
      </c>
    </row>
    <row r="11" customFormat="false" ht="15" hidden="false" customHeight="false" outlineLevel="0" collapsed="false">
      <c r="A11" s="4" t="s">
        <v>11</v>
      </c>
      <c r="B11" s="4" t="s">
        <v>12</v>
      </c>
    </row>
    <row r="12" customFormat="false" ht="15" hidden="false" customHeight="false" outlineLevel="0" collapsed="false">
      <c r="A12" s="4" t="s">
        <v>13</v>
      </c>
      <c r="B12" s="4" t="s">
        <v>14</v>
      </c>
    </row>
    <row r="13" customFormat="false" ht="15" hidden="false" customHeight="false" outlineLevel="0" collapsed="false">
      <c r="A13" s="4" t="s">
        <v>15</v>
      </c>
      <c r="B13" s="4" t="s">
        <v>16</v>
      </c>
    </row>
    <row r="14" customFormat="false" ht="15" hidden="false" customHeight="false" outlineLevel="0" collapsed="false">
      <c r="A14" s="4" t="s">
        <v>17</v>
      </c>
      <c r="B14" s="4" t="s">
        <v>18</v>
      </c>
    </row>
    <row r="16" customFormat="false" ht="15" hidden="false" customHeight="false" outlineLevel="0" collapsed="false">
      <c r="A16" s="3" t="s">
        <v>19</v>
      </c>
      <c r="B16" s="4"/>
    </row>
    <row r="17" customFormat="false" ht="15" hidden="false" customHeight="false" outlineLevel="0" collapsed="false">
      <c r="A17" s="4" t="s">
        <v>20</v>
      </c>
      <c r="B17" s="4" t="s">
        <v>21</v>
      </c>
    </row>
    <row r="18" customFormat="false" ht="15" hidden="false" customHeight="false" outlineLevel="0" collapsed="false">
      <c r="A18" s="4" t="s">
        <v>22</v>
      </c>
      <c r="B18" s="4" t="s">
        <v>23</v>
      </c>
    </row>
    <row r="19" customFormat="false" ht="15" hidden="false" customHeight="false" outlineLevel="0" collapsed="false">
      <c r="A19" s="4" t="s">
        <v>24</v>
      </c>
      <c r="B19" s="4" t="s">
        <v>25</v>
      </c>
    </row>
    <row r="21" customFormat="false" ht="15" hidden="false" customHeight="false" outlineLevel="0" collapsed="false">
      <c r="A21" s="3" t="s">
        <v>26</v>
      </c>
      <c r="B21" s="4"/>
    </row>
    <row r="22" customFormat="false" ht="15" hidden="false" customHeight="false" outlineLevel="0" collapsed="false">
      <c r="A22" s="4" t="s">
        <v>27</v>
      </c>
      <c r="B22" s="4" t="s">
        <v>28</v>
      </c>
    </row>
    <row r="23" customFormat="false" ht="15" hidden="false" customHeight="false" outlineLevel="0" collapsed="false">
      <c r="A23" s="4" t="s">
        <v>29</v>
      </c>
      <c r="B23" s="4" t="s">
        <v>30</v>
      </c>
    </row>
    <row r="24" customFormat="false" ht="15" hidden="false" customHeight="false" outlineLevel="0" collapsed="false">
      <c r="A24" s="4" t="s">
        <v>31</v>
      </c>
      <c r="B24" s="4" t="s">
        <v>32</v>
      </c>
    </row>
    <row r="25" customFormat="false" ht="15" hidden="false" customHeight="false" outlineLevel="0" collapsed="false">
      <c r="A25" s="4" t="s">
        <v>33</v>
      </c>
      <c r="B25" s="4" t="s">
        <v>34</v>
      </c>
    </row>
    <row r="26" customFormat="false" ht="15" hidden="false" customHeight="false" outlineLevel="0" collapsed="false">
      <c r="A26" s="4" t="s">
        <v>35</v>
      </c>
      <c r="B26" s="4" t="s">
        <v>36</v>
      </c>
    </row>
    <row r="27" customFormat="false" ht="15" hidden="false" customHeight="false" outlineLevel="0" collapsed="false">
      <c r="A27" s="4" t="s">
        <v>37</v>
      </c>
      <c r="B27" s="4" t="s">
        <v>38</v>
      </c>
    </row>
    <row r="28" customFormat="false" ht="15" hidden="false" customHeight="false" outlineLevel="0" collapsed="false">
      <c r="A28" s="4" t="s">
        <v>39</v>
      </c>
      <c r="B28" s="4" t="s">
        <v>40</v>
      </c>
    </row>
    <row r="29" customFormat="false" ht="15" hidden="false" customHeight="false" outlineLevel="0" collapsed="false">
      <c r="A29" s="4" t="s">
        <v>41</v>
      </c>
      <c r="B29" s="4" t="s">
        <v>42</v>
      </c>
    </row>
    <row r="30" customFormat="false" ht="15" hidden="false" customHeight="false" outlineLevel="0" collapsed="false">
      <c r="A30" s="4" t="s">
        <v>43</v>
      </c>
      <c r="B30" s="4" t="s">
        <v>44</v>
      </c>
    </row>
    <row r="31" customFormat="false" ht="15" hidden="false" customHeight="false" outlineLevel="0" collapsed="false">
      <c r="A31" s="4" t="s">
        <v>45</v>
      </c>
      <c r="B31" s="4" t="s">
        <v>46</v>
      </c>
    </row>
    <row r="32" customFormat="false" ht="15" hidden="false" customHeight="false" outlineLevel="0" collapsed="false">
      <c r="A32" s="4" t="s">
        <v>47</v>
      </c>
      <c r="B32" s="4" t="s">
        <v>48</v>
      </c>
    </row>
    <row r="33" customFormat="false" ht="15" hidden="false" customHeight="false" outlineLevel="0" collapsed="false">
      <c r="A33" s="4" t="s">
        <v>49</v>
      </c>
      <c r="B33" s="4" t="s">
        <v>50</v>
      </c>
    </row>
    <row r="34" customFormat="false" ht="15" hidden="false" customHeight="false" outlineLevel="0" collapsed="false">
      <c r="A34" s="4" t="s">
        <v>51</v>
      </c>
      <c r="B34" s="4" t="s">
        <v>52</v>
      </c>
    </row>
    <row r="35" customFormat="false" ht="15" hidden="false" customHeight="false" outlineLevel="0" collapsed="false">
      <c r="A35" s="4" t="s">
        <v>53</v>
      </c>
      <c r="B35" s="4" t="s">
        <v>54</v>
      </c>
    </row>
    <row r="37" customFormat="false" ht="15" hidden="false" customHeight="false" outlineLevel="0" collapsed="false">
      <c r="A37" s="3" t="s">
        <v>55</v>
      </c>
      <c r="B37" s="4"/>
    </row>
    <row r="38" customFormat="false" ht="15" hidden="false" customHeight="false" outlineLevel="0" collapsed="false">
      <c r="A38" s="4" t="s">
        <v>56</v>
      </c>
      <c r="B38" s="4" t="s">
        <v>57</v>
      </c>
    </row>
    <row r="39" customFormat="false" ht="15" hidden="false" customHeight="false" outlineLevel="0" collapsed="false">
      <c r="A39" s="4" t="s">
        <v>58</v>
      </c>
      <c r="B39" s="4" t="s">
        <v>59</v>
      </c>
    </row>
    <row r="40" customFormat="false" ht="15" hidden="false" customHeight="false" outlineLevel="0" collapsed="false">
      <c r="A40" s="4" t="s">
        <v>60</v>
      </c>
      <c r="B40" s="4" t="s">
        <v>61</v>
      </c>
    </row>
    <row r="42" customFormat="false" ht="15" hidden="false" customHeight="false" outlineLevel="0" collapsed="false">
      <c r="A42" s="3" t="s">
        <v>62</v>
      </c>
      <c r="B42" s="4"/>
    </row>
    <row r="43" customFormat="false" ht="15" hidden="false" customHeight="false" outlineLevel="0" collapsed="false">
      <c r="A43" s="4" t="s">
        <v>63</v>
      </c>
      <c r="B43" s="4" t="s">
        <v>64</v>
      </c>
    </row>
    <row r="44" customFormat="false" ht="15" hidden="false" customHeight="false" outlineLevel="0" collapsed="false">
      <c r="A44" s="4" t="s">
        <v>65</v>
      </c>
      <c r="B44" s="4" t="s">
        <v>66</v>
      </c>
    </row>
    <row r="45" customFormat="false" ht="15" hidden="false" customHeight="false" outlineLevel="0" collapsed="false">
      <c r="A45" s="4" t="s">
        <v>67</v>
      </c>
      <c r="B45" s="4" t="s">
        <v>68</v>
      </c>
    </row>
    <row r="46" customFormat="false" ht="15" hidden="false" customHeight="false" outlineLevel="0" collapsed="false">
      <c r="A46" s="4" t="s">
        <v>69</v>
      </c>
      <c r="B46" s="4" t="s">
        <v>70</v>
      </c>
    </row>
    <row r="47" customFormat="false" ht="15" hidden="false" customHeight="false" outlineLevel="0" collapsed="false">
      <c r="A47" s="4" t="s">
        <v>71</v>
      </c>
      <c r="B47" s="4" t="s">
        <v>72</v>
      </c>
    </row>
    <row r="48" customFormat="false" ht="15" hidden="false" customHeight="false" outlineLevel="0" collapsed="false">
      <c r="A48" s="4" t="s">
        <v>73</v>
      </c>
      <c r="B48" s="4" t="s">
        <v>74</v>
      </c>
    </row>
    <row r="49" customFormat="false" ht="15" hidden="false" customHeight="false" outlineLevel="0" collapsed="false">
      <c r="A49" s="4" t="s">
        <v>75</v>
      </c>
      <c r="B49" s="4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3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35"/>
    <col collapsed="false" customWidth="true" hidden="false" outlineLevel="0" max="8" min="8" style="0" width="30"/>
    <col collapsed="false" customWidth="true" hidden="false" outlineLevel="0" max="9" min="9" style="0" width="50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20"/>
    <col collapsed="false" customWidth="true" hidden="false" outlineLevel="0" max="13" min="13" style="0" width="25"/>
    <col collapsed="false" customWidth="true" hidden="false" outlineLevel="0" max="14" min="14" style="0" width="35"/>
    <col collapsed="false" customWidth="true" hidden="false" outlineLevel="0" max="15" min="15" style="0" width="22"/>
    <col collapsed="false" customWidth="true" hidden="false" outlineLevel="0" max="16" min="16" style="0" width="25"/>
    <col collapsed="false" customWidth="true" hidden="false" outlineLevel="0" max="17" min="17" style="0" width="18"/>
  </cols>
  <sheetData>
    <row r="1" customFormat="false" ht="23.85" hidden="false" customHeight="false" outlineLevel="0" collapsed="false">
      <c r="A1" s="5" t="s">
        <v>77</v>
      </c>
      <c r="B1" s="5" t="s">
        <v>78</v>
      </c>
      <c r="C1" s="5" t="s">
        <v>79</v>
      </c>
      <c r="D1" s="5" t="s">
        <v>80</v>
      </c>
      <c r="E1" s="5" t="s">
        <v>81</v>
      </c>
      <c r="F1" s="5" t="s">
        <v>82</v>
      </c>
      <c r="G1" s="5" t="s">
        <v>83</v>
      </c>
      <c r="H1" s="5" t="s">
        <v>84</v>
      </c>
      <c r="I1" s="5" t="s">
        <v>85</v>
      </c>
      <c r="J1" s="5" t="s">
        <v>86</v>
      </c>
      <c r="K1" s="5" t="s">
        <v>87</v>
      </c>
      <c r="L1" s="5" t="s">
        <v>88</v>
      </c>
      <c r="M1" s="5" t="s">
        <v>89</v>
      </c>
      <c r="N1" s="5" t="s">
        <v>90</v>
      </c>
      <c r="O1" s="5" t="s">
        <v>91</v>
      </c>
      <c r="P1" s="5" t="s">
        <v>92</v>
      </c>
      <c r="Q1" s="5" t="s">
        <v>93</v>
      </c>
    </row>
    <row r="2" customFormat="false" ht="43.25" hidden="false" customHeight="false" outlineLevel="0" collapsed="false">
      <c r="A2" s="6" t="s">
        <v>94</v>
      </c>
      <c r="B2" s="6" t="s">
        <v>95</v>
      </c>
      <c r="C2" s="6" t="s">
        <v>96</v>
      </c>
      <c r="D2" s="6" t="s">
        <v>97</v>
      </c>
      <c r="E2" s="6" t="s">
        <v>98</v>
      </c>
      <c r="F2" s="6" t="s">
        <v>99</v>
      </c>
      <c r="G2" s="6" t="s">
        <v>100</v>
      </c>
      <c r="H2" s="6" t="s">
        <v>101</v>
      </c>
      <c r="I2" s="6" t="s">
        <v>102</v>
      </c>
      <c r="J2" s="6" t="s">
        <v>103</v>
      </c>
      <c r="K2" s="6" t="s">
        <v>104</v>
      </c>
      <c r="L2" s="6" t="s">
        <v>105</v>
      </c>
      <c r="M2" s="6" t="s">
        <v>106</v>
      </c>
      <c r="N2" s="6" t="s">
        <v>107</v>
      </c>
      <c r="O2" s="6" t="s">
        <v>108</v>
      </c>
      <c r="P2" s="6" t="s">
        <v>109</v>
      </c>
      <c r="Q2" s="7" t="s">
        <v>110</v>
      </c>
    </row>
    <row r="3" customFormat="false" ht="22.35" hidden="false" customHeight="false" outlineLevel="0" collapsed="false">
      <c r="A3" s="6" t="s">
        <v>111</v>
      </c>
      <c r="B3" s="6" t="s">
        <v>112</v>
      </c>
      <c r="C3" s="6" t="s">
        <v>96</v>
      </c>
      <c r="D3" s="6" t="s">
        <v>97</v>
      </c>
      <c r="E3" s="6" t="s">
        <v>113</v>
      </c>
      <c r="F3" s="6" t="s">
        <v>114</v>
      </c>
      <c r="G3" s="6" t="s">
        <v>115</v>
      </c>
      <c r="H3" s="6" t="s">
        <v>116</v>
      </c>
      <c r="I3" s="6" t="s">
        <v>117</v>
      </c>
      <c r="J3" s="6" t="s">
        <v>118</v>
      </c>
      <c r="K3" s="6" t="s">
        <v>119</v>
      </c>
      <c r="L3" s="6" t="s">
        <v>120</v>
      </c>
      <c r="M3" s="6" t="s">
        <v>121</v>
      </c>
      <c r="N3" s="6" t="s">
        <v>122</v>
      </c>
      <c r="O3" s="6" t="s">
        <v>108</v>
      </c>
      <c r="P3" s="6" t="s">
        <v>123</v>
      </c>
      <c r="Q3" s="7" t="s">
        <v>110</v>
      </c>
    </row>
    <row r="4" customFormat="false" ht="32.8" hidden="false" customHeight="false" outlineLevel="0" collapsed="false">
      <c r="A4" s="6" t="s">
        <v>124</v>
      </c>
      <c r="B4" s="6" t="s">
        <v>125</v>
      </c>
      <c r="C4" s="6" t="s">
        <v>96</v>
      </c>
      <c r="D4" s="6" t="s">
        <v>97</v>
      </c>
      <c r="E4" s="6" t="s">
        <v>113</v>
      </c>
      <c r="F4" s="6" t="s">
        <v>99</v>
      </c>
      <c r="G4" s="6" t="s">
        <v>126</v>
      </c>
      <c r="H4" s="6" t="s">
        <v>127</v>
      </c>
      <c r="I4" s="6" t="s">
        <v>128</v>
      </c>
      <c r="J4" s="6" t="s">
        <v>129</v>
      </c>
      <c r="K4" s="6" t="s">
        <v>119</v>
      </c>
      <c r="L4" s="6" t="s">
        <v>105</v>
      </c>
      <c r="M4" s="6" t="s">
        <v>130</v>
      </c>
      <c r="N4" s="6" t="s">
        <v>131</v>
      </c>
      <c r="O4" s="6" t="s">
        <v>108</v>
      </c>
      <c r="P4" s="6" t="s">
        <v>132</v>
      </c>
      <c r="Q4" s="7" t="s">
        <v>110</v>
      </c>
    </row>
    <row r="5" customFormat="false" ht="22.35" hidden="false" customHeight="false" outlineLevel="0" collapsed="false">
      <c r="A5" s="6" t="s">
        <v>133</v>
      </c>
      <c r="B5" s="6" t="s">
        <v>134</v>
      </c>
      <c r="C5" s="6" t="s">
        <v>96</v>
      </c>
      <c r="D5" s="6" t="s">
        <v>97</v>
      </c>
      <c r="E5" s="6" t="s">
        <v>135</v>
      </c>
      <c r="F5" s="6" t="s">
        <v>99</v>
      </c>
      <c r="G5" s="6" t="s">
        <v>136</v>
      </c>
      <c r="H5" s="6" t="s">
        <v>137</v>
      </c>
      <c r="I5" s="6" t="s">
        <v>138</v>
      </c>
      <c r="J5" s="6" t="s">
        <v>139</v>
      </c>
      <c r="K5" s="6" t="s">
        <v>104</v>
      </c>
      <c r="L5" s="6" t="s">
        <v>120</v>
      </c>
      <c r="M5" s="6" t="s">
        <v>140</v>
      </c>
      <c r="N5" s="6" t="s">
        <v>141</v>
      </c>
      <c r="O5" s="6" t="s">
        <v>108</v>
      </c>
      <c r="P5" s="6" t="s">
        <v>142</v>
      </c>
      <c r="Q5" s="7" t="s">
        <v>110</v>
      </c>
    </row>
    <row r="6" customFormat="false" ht="22.35" hidden="false" customHeight="false" outlineLevel="0" collapsed="false">
      <c r="A6" s="6" t="s">
        <v>143</v>
      </c>
      <c r="B6" s="6" t="s">
        <v>144</v>
      </c>
      <c r="C6" s="6" t="s">
        <v>96</v>
      </c>
      <c r="D6" s="6" t="s">
        <v>97</v>
      </c>
      <c r="E6" s="6" t="s">
        <v>145</v>
      </c>
      <c r="F6" s="6" t="s">
        <v>114</v>
      </c>
      <c r="G6" s="6" t="s">
        <v>146</v>
      </c>
      <c r="H6" s="6" t="s">
        <v>116</v>
      </c>
      <c r="I6" s="6" t="s">
        <v>147</v>
      </c>
      <c r="J6" s="6" t="s">
        <v>148</v>
      </c>
      <c r="K6" s="6" t="s">
        <v>119</v>
      </c>
      <c r="L6" s="6" t="s">
        <v>149</v>
      </c>
      <c r="M6" s="6" t="s">
        <v>121</v>
      </c>
      <c r="N6" s="6" t="s">
        <v>150</v>
      </c>
      <c r="O6" s="6" t="s">
        <v>108</v>
      </c>
      <c r="P6" s="6" t="s">
        <v>151</v>
      </c>
      <c r="Q6" s="7" t="s">
        <v>110</v>
      </c>
    </row>
    <row r="7" customFormat="false" ht="22.35" hidden="false" customHeight="false" outlineLevel="0" collapsed="false">
      <c r="A7" s="6" t="s">
        <v>152</v>
      </c>
      <c r="B7" s="6" t="s">
        <v>153</v>
      </c>
      <c r="C7" s="6" t="s">
        <v>96</v>
      </c>
      <c r="D7" s="6" t="s">
        <v>154</v>
      </c>
      <c r="E7" s="6" t="s">
        <v>155</v>
      </c>
      <c r="F7" s="6" t="s">
        <v>156</v>
      </c>
      <c r="G7" s="6" t="s">
        <v>157</v>
      </c>
      <c r="H7" s="6" t="s">
        <v>158</v>
      </c>
      <c r="I7" s="6" t="s">
        <v>159</v>
      </c>
      <c r="J7" s="6" t="s">
        <v>160</v>
      </c>
      <c r="K7" s="6" t="s">
        <v>119</v>
      </c>
      <c r="L7" s="6" t="s">
        <v>120</v>
      </c>
      <c r="M7" s="6" t="s">
        <v>161</v>
      </c>
      <c r="N7" s="6" t="s">
        <v>162</v>
      </c>
      <c r="O7" s="6" t="s">
        <v>163</v>
      </c>
      <c r="P7" s="6" t="s">
        <v>164</v>
      </c>
      <c r="Q7" s="7" t="s">
        <v>110</v>
      </c>
    </row>
    <row r="8" customFormat="false" ht="22.35" hidden="false" customHeight="false" outlineLevel="0" collapsed="false">
      <c r="A8" s="6" t="s">
        <v>165</v>
      </c>
      <c r="B8" s="6" t="s">
        <v>166</v>
      </c>
      <c r="C8" s="6" t="s">
        <v>96</v>
      </c>
      <c r="D8" s="6" t="s">
        <v>154</v>
      </c>
      <c r="E8" s="6" t="s">
        <v>113</v>
      </c>
      <c r="F8" s="6" t="s">
        <v>156</v>
      </c>
      <c r="G8" s="6" t="s">
        <v>157</v>
      </c>
      <c r="H8" s="6" t="s">
        <v>167</v>
      </c>
      <c r="I8" s="6" t="s">
        <v>168</v>
      </c>
      <c r="J8" s="6" t="s">
        <v>169</v>
      </c>
      <c r="K8" s="6" t="s">
        <v>104</v>
      </c>
      <c r="L8" s="6" t="s">
        <v>120</v>
      </c>
      <c r="M8" s="6" t="s">
        <v>161</v>
      </c>
      <c r="N8" s="6" t="s">
        <v>162</v>
      </c>
      <c r="O8" s="6" t="s">
        <v>163</v>
      </c>
      <c r="P8" s="6" t="s">
        <v>170</v>
      </c>
      <c r="Q8" s="7" t="s">
        <v>110</v>
      </c>
    </row>
    <row r="9" customFormat="false" ht="22.35" hidden="false" customHeight="false" outlineLevel="0" collapsed="false">
      <c r="A9" s="6" t="s">
        <v>171</v>
      </c>
      <c r="B9" s="6" t="s">
        <v>172</v>
      </c>
      <c r="C9" s="6" t="s">
        <v>96</v>
      </c>
      <c r="D9" s="6" t="s">
        <v>154</v>
      </c>
      <c r="E9" s="6" t="s">
        <v>173</v>
      </c>
      <c r="F9" s="6" t="s">
        <v>156</v>
      </c>
      <c r="G9" s="6" t="s">
        <v>156</v>
      </c>
      <c r="H9" s="6" t="s">
        <v>174</v>
      </c>
      <c r="I9" s="6" t="s">
        <v>175</v>
      </c>
      <c r="J9" s="6" t="s">
        <v>176</v>
      </c>
      <c r="K9" s="6" t="s">
        <v>104</v>
      </c>
      <c r="L9" s="6" t="s">
        <v>105</v>
      </c>
      <c r="M9" s="6" t="s">
        <v>161</v>
      </c>
      <c r="N9" s="6" t="s">
        <v>177</v>
      </c>
      <c r="O9" s="6" t="s">
        <v>163</v>
      </c>
      <c r="P9" s="6" t="s">
        <v>178</v>
      </c>
      <c r="Q9" s="7" t="s">
        <v>110</v>
      </c>
    </row>
    <row r="10" customFormat="false" ht="22.35" hidden="false" customHeight="false" outlineLevel="0" collapsed="false">
      <c r="A10" s="6" t="s">
        <v>179</v>
      </c>
      <c r="B10" s="6" t="s">
        <v>180</v>
      </c>
      <c r="C10" s="6" t="s">
        <v>96</v>
      </c>
      <c r="D10" s="6" t="s">
        <v>154</v>
      </c>
      <c r="E10" s="6" t="s">
        <v>113</v>
      </c>
      <c r="F10" s="6" t="s">
        <v>156</v>
      </c>
      <c r="G10" s="6" t="s">
        <v>157</v>
      </c>
      <c r="H10" s="6" t="s">
        <v>181</v>
      </c>
      <c r="I10" s="6" t="s">
        <v>182</v>
      </c>
      <c r="J10" s="6" t="s">
        <v>183</v>
      </c>
      <c r="K10" s="6" t="s">
        <v>184</v>
      </c>
      <c r="L10" s="6" t="s">
        <v>120</v>
      </c>
      <c r="M10" s="6" t="s">
        <v>185</v>
      </c>
      <c r="N10" s="6" t="s">
        <v>186</v>
      </c>
      <c r="O10" s="6" t="s">
        <v>163</v>
      </c>
      <c r="P10" s="6" t="s">
        <v>187</v>
      </c>
      <c r="Q10" s="7" t="s">
        <v>110</v>
      </c>
    </row>
    <row r="11" customFormat="false" ht="22.35" hidden="false" customHeight="false" outlineLevel="0" collapsed="false">
      <c r="A11" s="6" t="s">
        <v>188</v>
      </c>
      <c r="B11" s="6" t="s">
        <v>189</v>
      </c>
      <c r="C11" s="6" t="s">
        <v>96</v>
      </c>
      <c r="D11" s="6" t="s">
        <v>154</v>
      </c>
      <c r="E11" s="6" t="s">
        <v>190</v>
      </c>
      <c r="F11" s="6" t="s">
        <v>156</v>
      </c>
      <c r="G11" s="6" t="s">
        <v>191</v>
      </c>
      <c r="H11" s="6" t="s">
        <v>158</v>
      </c>
      <c r="I11" s="6" t="s">
        <v>192</v>
      </c>
      <c r="J11" s="6" t="s">
        <v>169</v>
      </c>
      <c r="K11" s="6" t="s">
        <v>119</v>
      </c>
      <c r="L11" s="6" t="s">
        <v>193</v>
      </c>
      <c r="M11" s="6" t="s">
        <v>194</v>
      </c>
      <c r="N11" s="6" t="s">
        <v>195</v>
      </c>
      <c r="O11" s="6" t="s">
        <v>163</v>
      </c>
      <c r="P11" s="6" t="s">
        <v>196</v>
      </c>
      <c r="Q11" s="7" t="s">
        <v>110</v>
      </c>
    </row>
    <row r="12" customFormat="false" ht="22.35" hidden="false" customHeight="false" outlineLevel="0" collapsed="false">
      <c r="A12" s="6" t="s">
        <v>197</v>
      </c>
      <c r="B12" s="6" t="s">
        <v>198</v>
      </c>
      <c r="C12" s="6" t="s">
        <v>96</v>
      </c>
      <c r="D12" s="6" t="s">
        <v>199</v>
      </c>
      <c r="E12" s="6" t="s">
        <v>190</v>
      </c>
      <c r="F12" s="6" t="s">
        <v>200</v>
      </c>
      <c r="G12" s="6" t="s">
        <v>201</v>
      </c>
      <c r="H12" s="6" t="s">
        <v>202</v>
      </c>
      <c r="I12" s="6" t="s">
        <v>203</v>
      </c>
      <c r="J12" s="6" t="s">
        <v>148</v>
      </c>
      <c r="K12" s="6" t="s">
        <v>104</v>
      </c>
      <c r="L12" s="6" t="s">
        <v>120</v>
      </c>
      <c r="M12" s="6" t="s">
        <v>204</v>
      </c>
      <c r="N12" s="6" t="s">
        <v>205</v>
      </c>
      <c r="O12" s="6" t="s">
        <v>206</v>
      </c>
      <c r="P12" s="6" t="s">
        <v>207</v>
      </c>
      <c r="Q12" s="7" t="s">
        <v>110</v>
      </c>
    </row>
    <row r="13" customFormat="false" ht="22.35" hidden="false" customHeight="false" outlineLevel="0" collapsed="false">
      <c r="A13" s="6" t="s">
        <v>208</v>
      </c>
      <c r="B13" s="6" t="s">
        <v>209</v>
      </c>
      <c r="C13" s="6" t="s">
        <v>96</v>
      </c>
      <c r="D13" s="6" t="s">
        <v>199</v>
      </c>
      <c r="E13" s="6" t="s">
        <v>190</v>
      </c>
      <c r="F13" s="6" t="s">
        <v>210</v>
      </c>
      <c r="G13" s="6" t="s">
        <v>211</v>
      </c>
      <c r="H13" s="6" t="s">
        <v>212</v>
      </c>
      <c r="I13" s="6" t="s">
        <v>213</v>
      </c>
      <c r="J13" s="6" t="s">
        <v>148</v>
      </c>
      <c r="K13" s="6" t="s">
        <v>104</v>
      </c>
      <c r="L13" s="6" t="s">
        <v>120</v>
      </c>
      <c r="M13" s="6" t="s">
        <v>214</v>
      </c>
      <c r="N13" s="6" t="s">
        <v>215</v>
      </c>
      <c r="O13" s="6" t="s">
        <v>206</v>
      </c>
      <c r="P13" s="6" t="s">
        <v>216</v>
      </c>
      <c r="Q13" s="7" t="s">
        <v>110</v>
      </c>
    </row>
    <row r="14" customFormat="false" ht="22.35" hidden="false" customHeight="false" outlineLevel="0" collapsed="false">
      <c r="A14" s="6" t="s">
        <v>217</v>
      </c>
      <c r="B14" s="6" t="s">
        <v>218</v>
      </c>
      <c r="C14" s="6" t="s">
        <v>96</v>
      </c>
      <c r="D14" s="6" t="s">
        <v>199</v>
      </c>
      <c r="E14" s="6" t="s">
        <v>190</v>
      </c>
      <c r="F14" s="6" t="s">
        <v>200</v>
      </c>
      <c r="G14" s="6" t="s">
        <v>219</v>
      </c>
      <c r="H14" s="6" t="s">
        <v>220</v>
      </c>
      <c r="I14" s="6" t="s">
        <v>221</v>
      </c>
      <c r="J14" s="6" t="s">
        <v>169</v>
      </c>
      <c r="K14" s="6" t="s">
        <v>119</v>
      </c>
      <c r="L14" s="6" t="s">
        <v>105</v>
      </c>
      <c r="M14" s="6" t="s">
        <v>222</v>
      </c>
      <c r="N14" s="6" t="s">
        <v>195</v>
      </c>
      <c r="O14" s="6" t="s">
        <v>206</v>
      </c>
      <c r="P14" s="6" t="s">
        <v>223</v>
      </c>
      <c r="Q14" s="7" t="s">
        <v>110</v>
      </c>
    </row>
    <row r="15" customFormat="false" ht="22.35" hidden="false" customHeight="false" outlineLevel="0" collapsed="false">
      <c r="A15" s="6" t="s">
        <v>224</v>
      </c>
      <c r="B15" s="6" t="s">
        <v>225</v>
      </c>
      <c r="C15" s="6" t="s">
        <v>96</v>
      </c>
      <c r="D15" s="6" t="s">
        <v>199</v>
      </c>
      <c r="E15" s="6" t="s">
        <v>113</v>
      </c>
      <c r="F15" s="6" t="s">
        <v>200</v>
      </c>
      <c r="G15" s="6" t="s">
        <v>226</v>
      </c>
      <c r="H15" s="6" t="s">
        <v>227</v>
      </c>
      <c r="I15" s="6" t="s">
        <v>228</v>
      </c>
      <c r="J15" s="6" t="s">
        <v>229</v>
      </c>
      <c r="K15" s="6" t="s">
        <v>104</v>
      </c>
      <c r="L15" s="6" t="s">
        <v>105</v>
      </c>
      <c r="M15" s="6" t="s">
        <v>222</v>
      </c>
      <c r="N15" s="6" t="s">
        <v>230</v>
      </c>
      <c r="O15" s="6" t="s">
        <v>206</v>
      </c>
      <c r="P15" s="6" t="s">
        <v>231</v>
      </c>
      <c r="Q15" s="7" t="s">
        <v>110</v>
      </c>
    </row>
    <row r="16" customFormat="false" ht="22.35" hidden="false" customHeight="false" outlineLevel="0" collapsed="false">
      <c r="A16" s="6" t="s">
        <v>232</v>
      </c>
      <c r="B16" s="6" t="s">
        <v>233</v>
      </c>
      <c r="C16" s="6" t="s">
        <v>96</v>
      </c>
      <c r="D16" s="6" t="s">
        <v>199</v>
      </c>
      <c r="E16" s="6" t="s">
        <v>190</v>
      </c>
      <c r="F16" s="6" t="s">
        <v>200</v>
      </c>
      <c r="G16" s="6" t="s">
        <v>234</v>
      </c>
      <c r="H16" s="6" t="s">
        <v>202</v>
      </c>
      <c r="I16" s="6" t="s">
        <v>235</v>
      </c>
      <c r="J16" s="6" t="s">
        <v>229</v>
      </c>
      <c r="K16" s="6" t="s">
        <v>184</v>
      </c>
      <c r="L16" s="6" t="s">
        <v>120</v>
      </c>
      <c r="M16" s="6" t="s">
        <v>236</v>
      </c>
      <c r="N16" s="6" t="s">
        <v>237</v>
      </c>
      <c r="O16" s="6" t="s">
        <v>206</v>
      </c>
      <c r="P16" s="6" t="s">
        <v>238</v>
      </c>
      <c r="Q16" s="7" t="s">
        <v>110</v>
      </c>
    </row>
    <row r="17" customFormat="false" ht="32.8" hidden="false" customHeight="false" outlineLevel="0" collapsed="false">
      <c r="A17" s="6" t="s">
        <v>239</v>
      </c>
      <c r="B17" s="6" t="s">
        <v>240</v>
      </c>
      <c r="C17" s="6" t="s">
        <v>96</v>
      </c>
      <c r="D17" s="6" t="s">
        <v>241</v>
      </c>
      <c r="E17" s="6" t="s">
        <v>242</v>
      </c>
      <c r="F17" s="6" t="s">
        <v>243</v>
      </c>
      <c r="G17" s="6" t="s">
        <v>244</v>
      </c>
      <c r="H17" s="6" t="s">
        <v>245</v>
      </c>
      <c r="I17" s="6" t="s">
        <v>246</v>
      </c>
      <c r="J17" s="6" t="s">
        <v>139</v>
      </c>
      <c r="K17" s="6" t="s">
        <v>104</v>
      </c>
      <c r="L17" s="6" t="s">
        <v>120</v>
      </c>
      <c r="M17" s="6" t="s">
        <v>247</v>
      </c>
      <c r="N17" s="6" t="s">
        <v>248</v>
      </c>
      <c r="O17" s="6" t="s">
        <v>163</v>
      </c>
      <c r="P17" s="6" t="s">
        <v>249</v>
      </c>
      <c r="Q17" s="7" t="s">
        <v>110</v>
      </c>
    </row>
    <row r="18" customFormat="false" ht="22.35" hidden="false" customHeight="false" outlineLevel="0" collapsed="false">
      <c r="A18" s="6" t="s">
        <v>250</v>
      </c>
      <c r="B18" s="6" t="s">
        <v>251</v>
      </c>
      <c r="C18" s="6" t="s">
        <v>96</v>
      </c>
      <c r="D18" s="6" t="s">
        <v>241</v>
      </c>
      <c r="E18" s="6" t="s">
        <v>113</v>
      </c>
      <c r="F18" s="6" t="s">
        <v>243</v>
      </c>
      <c r="G18" s="6" t="s">
        <v>252</v>
      </c>
      <c r="H18" s="6" t="s">
        <v>253</v>
      </c>
      <c r="I18" s="6" t="s">
        <v>254</v>
      </c>
      <c r="J18" s="6" t="s">
        <v>118</v>
      </c>
      <c r="K18" s="6" t="s">
        <v>119</v>
      </c>
      <c r="L18" s="6" t="s">
        <v>105</v>
      </c>
      <c r="M18" s="6" t="s">
        <v>247</v>
      </c>
      <c r="N18" s="6" t="s">
        <v>255</v>
      </c>
      <c r="O18" s="6" t="s">
        <v>163</v>
      </c>
      <c r="P18" s="6" t="s">
        <v>256</v>
      </c>
      <c r="Q18" s="7" t="s">
        <v>110</v>
      </c>
    </row>
    <row r="19" customFormat="false" ht="22.35" hidden="false" customHeight="false" outlineLevel="0" collapsed="false">
      <c r="A19" s="6" t="s">
        <v>257</v>
      </c>
      <c r="B19" s="6" t="s">
        <v>258</v>
      </c>
      <c r="C19" s="6" t="s">
        <v>96</v>
      </c>
      <c r="D19" s="6" t="s">
        <v>241</v>
      </c>
      <c r="E19" s="6" t="s">
        <v>113</v>
      </c>
      <c r="F19" s="6" t="s">
        <v>243</v>
      </c>
      <c r="G19" s="6" t="s">
        <v>259</v>
      </c>
      <c r="H19" s="6" t="s">
        <v>260</v>
      </c>
      <c r="I19" s="6" t="s">
        <v>261</v>
      </c>
      <c r="J19" s="6" t="s">
        <v>148</v>
      </c>
      <c r="K19" s="6" t="s">
        <v>184</v>
      </c>
      <c r="L19" s="6" t="s">
        <v>193</v>
      </c>
      <c r="M19" s="6" t="s">
        <v>262</v>
      </c>
      <c r="N19" s="6" t="s">
        <v>263</v>
      </c>
      <c r="O19" s="6" t="s">
        <v>163</v>
      </c>
      <c r="P19" s="6" t="s">
        <v>264</v>
      </c>
      <c r="Q19" s="7" t="s">
        <v>110</v>
      </c>
    </row>
    <row r="20" customFormat="false" ht="22.35" hidden="false" customHeight="false" outlineLevel="0" collapsed="false">
      <c r="A20" s="6" t="s">
        <v>265</v>
      </c>
      <c r="B20" s="6" t="s">
        <v>266</v>
      </c>
      <c r="C20" s="6" t="s">
        <v>96</v>
      </c>
      <c r="D20" s="6" t="s">
        <v>241</v>
      </c>
      <c r="E20" s="6" t="s">
        <v>113</v>
      </c>
      <c r="F20" s="6" t="s">
        <v>243</v>
      </c>
      <c r="G20" s="6" t="s">
        <v>267</v>
      </c>
      <c r="H20" s="6" t="s">
        <v>268</v>
      </c>
      <c r="I20" s="6" t="s">
        <v>269</v>
      </c>
      <c r="J20" s="6" t="s">
        <v>270</v>
      </c>
      <c r="K20" s="6" t="s">
        <v>184</v>
      </c>
      <c r="L20" s="6" t="s">
        <v>120</v>
      </c>
      <c r="M20" s="6" t="s">
        <v>262</v>
      </c>
      <c r="N20" s="6" t="s">
        <v>271</v>
      </c>
      <c r="O20" s="6" t="s">
        <v>163</v>
      </c>
      <c r="P20" s="6" t="s">
        <v>272</v>
      </c>
      <c r="Q20" s="7" t="s">
        <v>110</v>
      </c>
    </row>
    <row r="21" customFormat="false" ht="32.8" hidden="false" customHeight="false" outlineLevel="0" collapsed="false">
      <c r="A21" s="6" t="s">
        <v>273</v>
      </c>
      <c r="B21" s="6" t="s">
        <v>274</v>
      </c>
      <c r="C21" s="6" t="s">
        <v>96</v>
      </c>
      <c r="D21" s="6" t="s">
        <v>275</v>
      </c>
      <c r="E21" s="6" t="s">
        <v>113</v>
      </c>
      <c r="F21" s="6" t="s">
        <v>276</v>
      </c>
      <c r="G21" s="6" t="s">
        <v>277</v>
      </c>
      <c r="H21" s="6" t="s">
        <v>278</v>
      </c>
      <c r="I21" s="6" t="s">
        <v>279</v>
      </c>
      <c r="J21" s="6" t="s">
        <v>270</v>
      </c>
      <c r="K21" s="6" t="s">
        <v>119</v>
      </c>
      <c r="L21" s="6" t="s">
        <v>280</v>
      </c>
      <c r="M21" s="6" t="s">
        <v>281</v>
      </c>
      <c r="N21" s="6" t="s">
        <v>282</v>
      </c>
      <c r="O21" s="6" t="s">
        <v>163</v>
      </c>
      <c r="P21" s="6" t="s">
        <v>283</v>
      </c>
      <c r="Q21" s="7" t="s">
        <v>110</v>
      </c>
    </row>
    <row r="22" customFormat="false" ht="22.35" hidden="false" customHeight="false" outlineLevel="0" collapsed="false">
      <c r="A22" s="6" t="s">
        <v>284</v>
      </c>
      <c r="B22" s="6" t="s">
        <v>285</v>
      </c>
      <c r="C22" s="6" t="s">
        <v>96</v>
      </c>
      <c r="D22" s="6" t="s">
        <v>275</v>
      </c>
      <c r="E22" s="6" t="s">
        <v>113</v>
      </c>
      <c r="F22" s="6" t="s">
        <v>286</v>
      </c>
      <c r="G22" s="6" t="s">
        <v>287</v>
      </c>
      <c r="H22" s="6" t="s">
        <v>278</v>
      </c>
      <c r="I22" s="6" t="s">
        <v>288</v>
      </c>
      <c r="J22" s="6" t="s">
        <v>289</v>
      </c>
      <c r="K22" s="6" t="s">
        <v>184</v>
      </c>
      <c r="L22" s="6" t="s">
        <v>193</v>
      </c>
      <c r="M22" s="6" t="s">
        <v>290</v>
      </c>
      <c r="N22" s="6" t="s">
        <v>291</v>
      </c>
      <c r="O22" s="6" t="s">
        <v>163</v>
      </c>
      <c r="P22" s="6" t="s">
        <v>292</v>
      </c>
      <c r="Q22" s="7" t="s">
        <v>110</v>
      </c>
    </row>
    <row r="23" customFormat="false" ht="22.35" hidden="false" customHeight="false" outlineLevel="0" collapsed="false">
      <c r="A23" s="6" t="s">
        <v>293</v>
      </c>
      <c r="B23" s="6" t="s">
        <v>294</v>
      </c>
      <c r="C23" s="6" t="s">
        <v>96</v>
      </c>
      <c r="D23" s="6" t="s">
        <v>275</v>
      </c>
      <c r="E23" s="6" t="s">
        <v>113</v>
      </c>
      <c r="F23" s="6" t="s">
        <v>114</v>
      </c>
      <c r="G23" s="6" t="s">
        <v>114</v>
      </c>
      <c r="H23" s="6" t="s">
        <v>295</v>
      </c>
      <c r="I23" s="6" t="s">
        <v>296</v>
      </c>
      <c r="J23" s="6" t="s">
        <v>229</v>
      </c>
      <c r="K23" s="6" t="s">
        <v>104</v>
      </c>
      <c r="L23" s="6" t="s">
        <v>280</v>
      </c>
      <c r="M23" s="6" t="s">
        <v>297</v>
      </c>
      <c r="N23" s="6" t="s">
        <v>298</v>
      </c>
      <c r="O23" s="6" t="s">
        <v>163</v>
      </c>
      <c r="P23" s="6" t="s">
        <v>299</v>
      </c>
      <c r="Q23" s="7" t="s">
        <v>110</v>
      </c>
    </row>
    <row r="24" customFormat="false" ht="22.35" hidden="false" customHeight="false" outlineLevel="0" collapsed="false">
      <c r="A24" s="6" t="s">
        <v>300</v>
      </c>
      <c r="B24" s="6" t="s">
        <v>301</v>
      </c>
      <c r="C24" s="6" t="s">
        <v>96</v>
      </c>
      <c r="D24" s="6" t="s">
        <v>302</v>
      </c>
      <c r="E24" s="6" t="s">
        <v>303</v>
      </c>
      <c r="F24" s="6" t="s">
        <v>304</v>
      </c>
      <c r="G24" s="6" t="s">
        <v>305</v>
      </c>
      <c r="H24" s="6" t="s">
        <v>306</v>
      </c>
      <c r="I24" s="6" t="s">
        <v>307</v>
      </c>
      <c r="J24" s="6" t="s">
        <v>308</v>
      </c>
      <c r="K24" s="6" t="s">
        <v>184</v>
      </c>
      <c r="L24" s="6" t="s">
        <v>120</v>
      </c>
      <c r="M24" s="6" t="s">
        <v>140</v>
      </c>
      <c r="N24" s="6" t="s">
        <v>309</v>
      </c>
      <c r="O24" s="6" t="s">
        <v>310</v>
      </c>
      <c r="P24" s="6" t="s">
        <v>311</v>
      </c>
      <c r="Q24" s="7" t="s">
        <v>110</v>
      </c>
    </row>
    <row r="25" customFormat="false" ht="22.35" hidden="false" customHeight="false" outlineLevel="0" collapsed="false">
      <c r="A25" s="6" t="s">
        <v>312</v>
      </c>
      <c r="B25" s="6" t="s">
        <v>313</v>
      </c>
      <c r="C25" s="6" t="s">
        <v>96</v>
      </c>
      <c r="D25" s="6" t="s">
        <v>302</v>
      </c>
      <c r="E25" s="6" t="s">
        <v>314</v>
      </c>
      <c r="F25" s="6" t="s">
        <v>315</v>
      </c>
      <c r="G25" s="6" t="s">
        <v>316</v>
      </c>
      <c r="H25" s="6" t="s">
        <v>317</v>
      </c>
      <c r="I25" s="6" t="s">
        <v>318</v>
      </c>
      <c r="J25" s="6" t="s">
        <v>183</v>
      </c>
      <c r="K25" s="6" t="s">
        <v>184</v>
      </c>
      <c r="L25" s="6" t="s">
        <v>120</v>
      </c>
      <c r="M25" s="6" t="s">
        <v>319</v>
      </c>
      <c r="N25" s="6" t="s">
        <v>320</v>
      </c>
      <c r="O25" s="6" t="s">
        <v>310</v>
      </c>
      <c r="P25" s="6" t="s">
        <v>321</v>
      </c>
      <c r="Q25" s="7" t="s">
        <v>110</v>
      </c>
    </row>
    <row r="26" customFormat="false" ht="22.35" hidden="false" customHeight="false" outlineLevel="0" collapsed="false">
      <c r="A26" s="6" t="s">
        <v>322</v>
      </c>
      <c r="B26" s="6" t="s">
        <v>323</v>
      </c>
      <c r="C26" s="6" t="s">
        <v>96</v>
      </c>
      <c r="D26" s="6" t="s">
        <v>302</v>
      </c>
      <c r="E26" s="6" t="s">
        <v>324</v>
      </c>
      <c r="F26" s="6" t="s">
        <v>325</v>
      </c>
      <c r="G26" s="6" t="s">
        <v>326</v>
      </c>
      <c r="H26" s="6" t="s">
        <v>327</v>
      </c>
      <c r="I26" s="6" t="s">
        <v>328</v>
      </c>
      <c r="J26" s="6" t="s">
        <v>329</v>
      </c>
      <c r="K26" s="6" t="s">
        <v>184</v>
      </c>
      <c r="L26" s="6" t="s">
        <v>120</v>
      </c>
      <c r="M26" s="6" t="s">
        <v>330</v>
      </c>
      <c r="N26" s="6" t="s">
        <v>331</v>
      </c>
      <c r="O26" s="6" t="s">
        <v>310</v>
      </c>
      <c r="P26" s="6" t="s">
        <v>332</v>
      </c>
      <c r="Q26" s="7" t="s">
        <v>110</v>
      </c>
    </row>
    <row r="27" customFormat="false" ht="22.35" hidden="false" customHeight="false" outlineLevel="0" collapsed="false">
      <c r="A27" s="6" t="s">
        <v>333</v>
      </c>
      <c r="B27" s="6" t="s">
        <v>334</v>
      </c>
      <c r="C27" s="6" t="s">
        <v>96</v>
      </c>
      <c r="D27" s="6" t="s">
        <v>302</v>
      </c>
      <c r="E27" s="6" t="s">
        <v>335</v>
      </c>
      <c r="F27" s="6" t="s">
        <v>336</v>
      </c>
      <c r="G27" s="6" t="s">
        <v>337</v>
      </c>
      <c r="H27" s="6" t="s">
        <v>338</v>
      </c>
      <c r="I27" s="6" t="s">
        <v>339</v>
      </c>
      <c r="J27" s="6" t="s">
        <v>129</v>
      </c>
      <c r="K27" s="6" t="s">
        <v>184</v>
      </c>
      <c r="L27" s="6" t="s">
        <v>120</v>
      </c>
      <c r="M27" s="6" t="s">
        <v>319</v>
      </c>
      <c r="N27" s="6" t="s">
        <v>340</v>
      </c>
      <c r="O27" s="6" t="s">
        <v>310</v>
      </c>
      <c r="P27" s="6" t="s">
        <v>341</v>
      </c>
      <c r="Q27" s="7" t="s">
        <v>110</v>
      </c>
    </row>
    <row r="28" customFormat="false" ht="22.35" hidden="false" customHeight="false" outlineLevel="0" collapsed="false">
      <c r="A28" s="6" t="s">
        <v>342</v>
      </c>
      <c r="B28" s="6" t="s">
        <v>343</v>
      </c>
      <c r="C28" s="6" t="s">
        <v>96</v>
      </c>
      <c r="D28" s="6" t="s">
        <v>302</v>
      </c>
      <c r="E28" s="6" t="s">
        <v>344</v>
      </c>
      <c r="F28" s="6" t="s">
        <v>345</v>
      </c>
      <c r="G28" s="6" t="s">
        <v>346</v>
      </c>
      <c r="H28" s="6" t="s">
        <v>347</v>
      </c>
      <c r="I28" s="6" t="s">
        <v>348</v>
      </c>
      <c r="J28" s="6" t="s">
        <v>349</v>
      </c>
      <c r="K28" s="6" t="s">
        <v>184</v>
      </c>
      <c r="L28" s="6" t="s">
        <v>120</v>
      </c>
      <c r="M28" s="6" t="s">
        <v>319</v>
      </c>
      <c r="N28" s="6" t="s">
        <v>320</v>
      </c>
      <c r="O28" s="6" t="s">
        <v>310</v>
      </c>
      <c r="P28" s="6" t="s">
        <v>350</v>
      </c>
      <c r="Q28" s="7" t="s">
        <v>110</v>
      </c>
    </row>
    <row r="29" customFormat="false" ht="22.35" hidden="false" customHeight="false" outlineLevel="0" collapsed="false">
      <c r="A29" s="6" t="s">
        <v>351</v>
      </c>
      <c r="B29" s="6" t="s">
        <v>352</v>
      </c>
      <c r="C29" s="6" t="s">
        <v>96</v>
      </c>
      <c r="D29" s="6" t="s">
        <v>302</v>
      </c>
      <c r="E29" s="6" t="s">
        <v>353</v>
      </c>
      <c r="F29" s="6" t="s">
        <v>354</v>
      </c>
      <c r="G29" s="6" t="s">
        <v>355</v>
      </c>
      <c r="H29" s="6" t="s">
        <v>356</v>
      </c>
      <c r="I29" s="6" t="s">
        <v>357</v>
      </c>
      <c r="J29" s="6" t="s">
        <v>129</v>
      </c>
      <c r="K29" s="6" t="s">
        <v>184</v>
      </c>
      <c r="L29" s="6" t="s">
        <v>280</v>
      </c>
      <c r="M29" s="6" t="s">
        <v>319</v>
      </c>
      <c r="N29" s="6" t="s">
        <v>320</v>
      </c>
      <c r="O29" s="6" t="s">
        <v>310</v>
      </c>
      <c r="P29" s="6" t="s">
        <v>358</v>
      </c>
      <c r="Q29" s="7" t="s">
        <v>110</v>
      </c>
    </row>
    <row r="30" customFormat="false" ht="22.35" hidden="false" customHeight="false" outlineLevel="0" collapsed="false">
      <c r="A30" s="6" t="s">
        <v>359</v>
      </c>
      <c r="B30" s="6" t="s">
        <v>360</v>
      </c>
      <c r="C30" s="6" t="s">
        <v>96</v>
      </c>
      <c r="D30" s="6" t="s">
        <v>361</v>
      </c>
      <c r="E30" s="6" t="s">
        <v>113</v>
      </c>
      <c r="F30" s="6" t="s">
        <v>362</v>
      </c>
      <c r="G30" s="6" t="s">
        <v>363</v>
      </c>
      <c r="H30" s="6" t="s">
        <v>364</v>
      </c>
      <c r="I30" s="6" t="s">
        <v>365</v>
      </c>
      <c r="J30" s="6" t="s">
        <v>349</v>
      </c>
      <c r="K30" s="6" t="s">
        <v>184</v>
      </c>
      <c r="L30" s="6" t="s">
        <v>105</v>
      </c>
      <c r="M30" s="6" t="s">
        <v>366</v>
      </c>
      <c r="N30" s="6" t="s">
        <v>367</v>
      </c>
      <c r="O30" s="6" t="s">
        <v>368</v>
      </c>
      <c r="P30" s="6" t="s">
        <v>369</v>
      </c>
      <c r="Q30" s="7" t="s">
        <v>110</v>
      </c>
    </row>
    <row r="31" customFormat="false" ht="22.35" hidden="false" customHeight="false" outlineLevel="0" collapsed="false">
      <c r="A31" s="6" t="s">
        <v>370</v>
      </c>
      <c r="B31" s="6" t="s">
        <v>371</v>
      </c>
      <c r="C31" s="6" t="s">
        <v>96</v>
      </c>
      <c r="D31" s="6" t="s">
        <v>361</v>
      </c>
      <c r="E31" s="6" t="s">
        <v>113</v>
      </c>
      <c r="F31" s="6" t="s">
        <v>156</v>
      </c>
      <c r="G31" s="6" t="s">
        <v>372</v>
      </c>
      <c r="H31" s="6" t="s">
        <v>373</v>
      </c>
      <c r="I31" s="6" t="s">
        <v>374</v>
      </c>
      <c r="J31" s="6" t="s">
        <v>375</v>
      </c>
      <c r="K31" s="6" t="s">
        <v>184</v>
      </c>
      <c r="L31" s="6" t="s">
        <v>120</v>
      </c>
      <c r="M31" s="6" t="s">
        <v>366</v>
      </c>
      <c r="N31" s="6" t="s">
        <v>376</v>
      </c>
      <c r="O31" s="6" t="s">
        <v>368</v>
      </c>
      <c r="P31" s="6" t="s">
        <v>377</v>
      </c>
      <c r="Q31" s="7" t="s">
        <v>110</v>
      </c>
    </row>
    <row r="32" customFormat="false" ht="22.35" hidden="false" customHeight="false" outlineLevel="0" collapsed="false">
      <c r="A32" s="6" t="s">
        <v>378</v>
      </c>
      <c r="B32" s="6" t="s">
        <v>379</v>
      </c>
      <c r="C32" s="6" t="s">
        <v>96</v>
      </c>
      <c r="D32" s="6" t="s">
        <v>380</v>
      </c>
      <c r="E32" s="6" t="s">
        <v>381</v>
      </c>
      <c r="F32" s="6" t="s">
        <v>382</v>
      </c>
      <c r="G32" s="6" t="s">
        <v>383</v>
      </c>
      <c r="H32" s="6" t="s">
        <v>384</v>
      </c>
      <c r="I32" s="6" t="s">
        <v>385</v>
      </c>
      <c r="J32" s="6" t="s">
        <v>129</v>
      </c>
      <c r="K32" s="6" t="s">
        <v>119</v>
      </c>
      <c r="L32" s="6" t="s">
        <v>280</v>
      </c>
      <c r="M32" s="6" t="s">
        <v>386</v>
      </c>
      <c r="N32" s="6" t="s">
        <v>387</v>
      </c>
      <c r="O32" s="6" t="s">
        <v>310</v>
      </c>
      <c r="P32" s="6" t="s">
        <v>388</v>
      </c>
      <c r="Q32" s="7" t="s">
        <v>110</v>
      </c>
    </row>
    <row r="33" customFormat="false" ht="22.35" hidden="false" customHeight="false" outlineLevel="0" collapsed="false">
      <c r="A33" s="6" t="s">
        <v>389</v>
      </c>
      <c r="B33" s="6" t="s">
        <v>390</v>
      </c>
      <c r="C33" s="6" t="s">
        <v>96</v>
      </c>
      <c r="D33" s="6" t="s">
        <v>391</v>
      </c>
      <c r="E33" s="6" t="s">
        <v>392</v>
      </c>
      <c r="F33" s="6" t="s">
        <v>393</v>
      </c>
      <c r="G33" s="6" t="s">
        <v>394</v>
      </c>
      <c r="H33" s="6" t="s">
        <v>395</v>
      </c>
      <c r="I33" s="6" t="s">
        <v>396</v>
      </c>
      <c r="J33" s="6" t="s">
        <v>349</v>
      </c>
      <c r="K33" s="6" t="s">
        <v>184</v>
      </c>
      <c r="L33" s="6" t="s">
        <v>120</v>
      </c>
      <c r="M33" s="6" t="s">
        <v>397</v>
      </c>
      <c r="N33" s="6" t="s">
        <v>320</v>
      </c>
      <c r="O33" s="6" t="s">
        <v>310</v>
      </c>
      <c r="P33" s="6" t="s">
        <v>398</v>
      </c>
      <c r="Q33" s="7" t="s">
        <v>110</v>
      </c>
    </row>
    <row r="34" customFormat="false" ht="22.35" hidden="false" customHeight="false" outlineLevel="0" collapsed="false">
      <c r="A34" s="6" t="s">
        <v>399</v>
      </c>
      <c r="B34" s="6" t="s">
        <v>400</v>
      </c>
      <c r="C34" s="6" t="s">
        <v>96</v>
      </c>
      <c r="D34" s="6" t="s">
        <v>391</v>
      </c>
      <c r="E34" s="6" t="s">
        <v>401</v>
      </c>
      <c r="F34" s="6" t="s">
        <v>393</v>
      </c>
      <c r="G34" s="6" t="s">
        <v>402</v>
      </c>
      <c r="H34" s="6" t="s">
        <v>403</v>
      </c>
      <c r="I34" s="6" t="s">
        <v>404</v>
      </c>
      <c r="J34" s="6" t="s">
        <v>405</v>
      </c>
      <c r="K34" s="6" t="s">
        <v>184</v>
      </c>
      <c r="L34" s="6" t="s">
        <v>120</v>
      </c>
      <c r="M34" s="6" t="s">
        <v>406</v>
      </c>
      <c r="N34" s="6" t="s">
        <v>407</v>
      </c>
      <c r="O34" s="6" t="s">
        <v>310</v>
      </c>
      <c r="P34" s="6" t="s">
        <v>408</v>
      </c>
      <c r="Q34" s="7" t="s">
        <v>110</v>
      </c>
    </row>
    <row r="35" customFormat="false" ht="22.35" hidden="false" customHeight="false" outlineLevel="0" collapsed="false">
      <c r="A35" s="6" t="s">
        <v>409</v>
      </c>
      <c r="B35" s="6" t="s">
        <v>410</v>
      </c>
      <c r="C35" s="6" t="s">
        <v>411</v>
      </c>
      <c r="D35" s="6" t="s">
        <v>412</v>
      </c>
      <c r="E35" s="6" t="s">
        <v>413</v>
      </c>
      <c r="F35" s="6" t="s">
        <v>414</v>
      </c>
      <c r="G35" s="6" t="s">
        <v>415</v>
      </c>
      <c r="H35" s="6" t="s">
        <v>416</v>
      </c>
      <c r="I35" s="6" t="s">
        <v>417</v>
      </c>
      <c r="J35" s="6" t="s">
        <v>229</v>
      </c>
      <c r="K35" s="6" t="s">
        <v>104</v>
      </c>
      <c r="L35" s="6" t="s">
        <v>105</v>
      </c>
      <c r="M35" s="6" t="s">
        <v>418</v>
      </c>
      <c r="N35" s="6" t="s">
        <v>419</v>
      </c>
      <c r="O35" s="6" t="s">
        <v>420</v>
      </c>
      <c r="P35" s="6" t="s">
        <v>421</v>
      </c>
      <c r="Q35" s="7" t="s">
        <v>110</v>
      </c>
    </row>
    <row r="36" customFormat="false" ht="22.35" hidden="false" customHeight="false" outlineLevel="0" collapsed="false">
      <c r="A36" s="6" t="s">
        <v>422</v>
      </c>
      <c r="B36" s="6" t="s">
        <v>423</v>
      </c>
      <c r="C36" s="6" t="s">
        <v>411</v>
      </c>
      <c r="D36" s="6" t="s">
        <v>412</v>
      </c>
      <c r="E36" s="6" t="s">
        <v>413</v>
      </c>
      <c r="F36" s="6" t="s">
        <v>414</v>
      </c>
      <c r="G36" s="6" t="s">
        <v>415</v>
      </c>
      <c r="H36" s="6" t="s">
        <v>416</v>
      </c>
      <c r="I36" s="6" t="s">
        <v>424</v>
      </c>
      <c r="J36" s="6" t="s">
        <v>229</v>
      </c>
      <c r="K36" s="6" t="s">
        <v>119</v>
      </c>
      <c r="L36" s="6" t="s">
        <v>105</v>
      </c>
      <c r="M36" s="6" t="s">
        <v>418</v>
      </c>
      <c r="N36" s="6" t="s">
        <v>425</v>
      </c>
      <c r="O36" s="6" t="s">
        <v>420</v>
      </c>
      <c r="P36" s="6" t="s">
        <v>426</v>
      </c>
      <c r="Q36" s="7" t="s">
        <v>110</v>
      </c>
    </row>
    <row r="37" customFormat="false" ht="22.35" hidden="false" customHeight="false" outlineLevel="0" collapsed="false">
      <c r="A37" s="6" t="s">
        <v>427</v>
      </c>
      <c r="B37" s="6" t="s">
        <v>428</v>
      </c>
      <c r="C37" s="6" t="s">
        <v>411</v>
      </c>
      <c r="D37" s="6" t="s">
        <v>412</v>
      </c>
      <c r="E37" s="6" t="s">
        <v>429</v>
      </c>
      <c r="F37" s="6" t="s">
        <v>414</v>
      </c>
      <c r="G37" s="6" t="s">
        <v>415</v>
      </c>
      <c r="H37" s="6" t="s">
        <v>416</v>
      </c>
      <c r="I37" s="6" t="s">
        <v>424</v>
      </c>
      <c r="J37" s="6" t="s">
        <v>229</v>
      </c>
      <c r="K37" s="6" t="s">
        <v>119</v>
      </c>
      <c r="L37" s="6" t="s">
        <v>105</v>
      </c>
      <c r="M37" s="6" t="s">
        <v>418</v>
      </c>
      <c r="N37" s="6" t="s">
        <v>430</v>
      </c>
      <c r="O37" s="6" t="s">
        <v>420</v>
      </c>
      <c r="P37" s="6" t="s">
        <v>431</v>
      </c>
      <c r="Q37" s="7" t="s">
        <v>110</v>
      </c>
    </row>
    <row r="38" customFormat="false" ht="22.35" hidden="false" customHeight="false" outlineLevel="0" collapsed="false">
      <c r="A38" s="6" t="s">
        <v>432</v>
      </c>
      <c r="B38" s="6" t="s">
        <v>433</v>
      </c>
      <c r="C38" s="6" t="s">
        <v>411</v>
      </c>
      <c r="D38" s="6" t="s">
        <v>412</v>
      </c>
      <c r="E38" s="6" t="s">
        <v>413</v>
      </c>
      <c r="F38" s="6" t="s">
        <v>414</v>
      </c>
      <c r="G38" s="6" t="s">
        <v>434</v>
      </c>
      <c r="H38" s="6" t="s">
        <v>416</v>
      </c>
      <c r="I38" s="6" t="s">
        <v>435</v>
      </c>
      <c r="J38" s="6" t="s">
        <v>129</v>
      </c>
      <c r="K38" s="6" t="s">
        <v>184</v>
      </c>
      <c r="L38" s="6" t="s">
        <v>193</v>
      </c>
      <c r="M38" s="6" t="s">
        <v>418</v>
      </c>
      <c r="N38" s="6" t="s">
        <v>419</v>
      </c>
      <c r="O38" s="6" t="s">
        <v>420</v>
      </c>
      <c r="P38" s="6" t="s">
        <v>436</v>
      </c>
      <c r="Q38" s="7" t="s">
        <v>110</v>
      </c>
    </row>
    <row r="39" customFormat="false" ht="22.35" hidden="false" customHeight="false" outlineLevel="0" collapsed="false">
      <c r="A39" s="6" t="s">
        <v>437</v>
      </c>
      <c r="B39" s="6" t="s">
        <v>438</v>
      </c>
      <c r="C39" s="6" t="s">
        <v>411</v>
      </c>
      <c r="D39" s="6" t="s">
        <v>412</v>
      </c>
      <c r="E39" s="6" t="s">
        <v>413</v>
      </c>
      <c r="F39" s="6" t="s">
        <v>414</v>
      </c>
      <c r="G39" s="6" t="s">
        <v>439</v>
      </c>
      <c r="H39" s="6" t="s">
        <v>416</v>
      </c>
      <c r="I39" s="6" t="s">
        <v>440</v>
      </c>
      <c r="J39" s="6" t="s">
        <v>129</v>
      </c>
      <c r="K39" s="6" t="s">
        <v>184</v>
      </c>
      <c r="L39" s="6" t="s">
        <v>120</v>
      </c>
      <c r="M39" s="6" t="s">
        <v>418</v>
      </c>
      <c r="N39" s="6" t="s">
        <v>419</v>
      </c>
      <c r="O39" s="6" t="s">
        <v>420</v>
      </c>
      <c r="P39" s="6" t="s">
        <v>441</v>
      </c>
      <c r="Q39" s="7" t="s">
        <v>110</v>
      </c>
    </row>
    <row r="40" customFormat="false" ht="22.35" hidden="false" customHeight="false" outlineLevel="0" collapsed="false">
      <c r="A40" s="6" t="s">
        <v>442</v>
      </c>
      <c r="B40" s="6" t="s">
        <v>443</v>
      </c>
      <c r="C40" s="6" t="s">
        <v>411</v>
      </c>
      <c r="D40" s="6" t="s">
        <v>444</v>
      </c>
      <c r="E40" s="6" t="s">
        <v>413</v>
      </c>
      <c r="F40" s="6" t="s">
        <v>445</v>
      </c>
      <c r="G40" s="6" t="s">
        <v>446</v>
      </c>
      <c r="H40" s="6" t="s">
        <v>447</v>
      </c>
      <c r="I40" s="6" t="s">
        <v>448</v>
      </c>
      <c r="J40" s="6" t="s">
        <v>129</v>
      </c>
      <c r="K40" s="6" t="s">
        <v>119</v>
      </c>
      <c r="L40" s="6" t="s">
        <v>105</v>
      </c>
      <c r="M40" s="6" t="s">
        <v>449</v>
      </c>
      <c r="N40" s="6" t="s">
        <v>450</v>
      </c>
      <c r="O40" s="6" t="s">
        <v>451</v>
      </c>
      <c r="P40" s="6" t="s">
        <v>452</v>
      </c>
      <c r="Q40" s="7" t="s">
        <v>110</v>
      </c>
    </row>
    <row r="41" customFormat="false" ht="22.35" hidden="false" customHeight="false" outlineLevel="0" collapsed="false">
      <c r="A41" s="6" t="s">
        <v>453</v>
      </c>
      <c r="B41" s="6" t="s">
        <v>454</v>
      </c>
      <c r="C41" s="6" t="s">
        <v>411</v>
      </c>
      <c r="D41" s="6" t="s">
        <v>444</v>
      </c>
      <c r="E41" s="6" t="s">
        <v>413</v>
      </c>
      <c r="F41" s="6" t="s">
        <v>455</v>
      </c>
      <c r="G41" s="6" t="s">
        <v>456</v>
      </c>
      <c r="H41" s="6" t="s">
        <v>457</v>
      </c>
      <c r="I41" s="6" t="s">
        <v>458</v>
      </c>
      <c r="J41" s="6" t="s">
        <v>270</v>
      </c>
      <c r="K41" s="6" t="s">
        <v>104</v>
      </c>
      <c r="L41" s="6" t="s">
        <v>105</v>
      </c>
      <c r="M41" s="6" t="s">
        <v>449</v>
      </c>
      <c r="N41" s="6" t="s">
        <v>459</v>
      </c>
      <c r="O41" s="6" t="s">
        <v>451</v>
      </c>
      <c r="P41" s="6" t="s">
        <v>460</v>
      </c>
      <c r="Q41" s="7" t="s">
        <v>110</v>
      </c>
    </row>
    <row r="42" customFormat="false" ht="22.35" hidden="false" customHeight="false" outlineLevel="0" collapsed="false">
      <c r="A42" s="6" t="s">
        <v>461</v>
      </c>
      <c r="B42" s="6" t="s">
        <v>462</v>
      </c>
      <c r="C42" s="6" t="s">
        <v>411</v>
      </c>
      <c r="D42" s="6" t="s">
        <v>444</v>
      </c>
      <c r="E42" s="6" t="s">
        <v>413</v>
      </c>
      <c r="F42" s="6" t="s">
        <v>463</v>
      </c>
      <c r="G42" s="6" t="s">
        <v>464</v>
      </c>
      <c r="H42" s="6" t="s">
        <v>465</v>
      </c>
      <c r="I42" s="6" t="s">
        <v>466</v>
      </c>
      <c r="J42" s="6" t="s">
        <v>129</v>
      </c>
      <c r="K42" s="6" t="s">
        <v>184</v>
      </c>
      <c r="L42" s="6" t="s">
        <v>120</v>
      </c>
      <c r="M42" s="6" t="s">
        <v>418</v>
      </c>
      <c r="N42" s="6" t="s">
        <v>419</v>
      </c>
      <c r="O42" s="6" t="s">
        <v>451</v>
      </c>
      <c r="P42" s="6" t="s">
        <v>467</v>
      </c>
      <c r="Q42" s="7" t="s">
        <v>110</v>
      </c>
    </row>
    <row r="43" customFormat="false" ht="15" hidden="false" customHeight="false" outlineLevel="0" collapsed="false">
      <c r="A43" s="6" t="s">
        <v>468</v>
      </c>
      <c r="B43" s="6" t="s">
        <v>469</v>
      </c>
      <c r="C43" s="6" t="s">
        <v>411</v>
      </c>
      <c r="D43" s="6" t="s">
        <v>470</v>
      </c>
      <c r="E43" s="6" t="s">
        <v>413</v>
      </c>
      <c r="F43" s="6" t="s">
        <v>471</v>
      </c>
      <c r="G43" s="6" t="s">
        <v>471</v>
      </c>
      <c r="H43" s="6" t="s">
        <v>472</v>
      </c>
      <c r="I43" s="6" t="s">
        <v>473</v>
      </c>
      <c r="J43" s="6" t="s">
        <v>148</v>
      </c>
      <c r="K43" s="6" t="s">
        <v>119</v>
      </c>
      <c r="L43" s="6" t="s">
        <v>105</v>
      </c>
      <c r="M43" s="6" t="s">
        <v>474</v>
      </c>
      <c r="N43" s="6" t="s">
        <v>475</v>
      </c>
      <c r="O43" s="6" t="s">
        <v>420</v>
      </c>
      <c r="P43" s="6" t="s">
        <v>476</v>
      </c>
      <c r="Q43" s="7" t="s">
        <v>110</v>
      </c>
    </row>
    <row r="44" customFormat="false" ht="22.35" hidden="false" customHeight="false" outlineLevel="0" collapsed="false">
      <c r="A44" s="6" t="s">
        <v>477</v>
      </c>
      <c r="B44" s="6" t="s">
        <v>478</v>
      </c>
      <c r="C44" s="6" t="s">
        <v>411</v>
      </c>
      <c r="D44" s="6" t="s">
        <v>444</v>
      </c>
      <c r="E44" s="6" t="s">
        <v>413</v>
      </c>
      <c r="F44" s="6" t="s">
        <v>479</v>
      </c>
      <c r="G44" s="6" t="s">
        <v>480</v>
      </c>
      <c r="H44" s="6" t="s">
        <v>481</v>
      </c>
      <c r="I44" s="6" t="s">
        <v>482</v>
      </c>
      <c r="J44" s="6" t="s">
        <v>229</v>
      </c>
      <c r="K44" s="6" t="s">
        <v>184</v>
      </c>
      <c r="L44" s="6" t="s">
        <v>120</v>
      </c>
      <c r="M44" s="6"/>
      <c r="N44" s="6" t="s">
        <v>483</v>
      </c>
      <c r="O44" s="6" t="s">
        <v>451</v>
      </c>
      <c r="P44" s="6" t="s">
        <v>484</v>
      </c>
      <c r="Q44" s="7" t="s">
        <v>110</v>
      </c>
    </row>
    <row r="45" customFormat="false" ht="22.35" hidden="false" customHeight="false" outlineLevel="0" collapsed="false">
      <c r="A45" s="6" t="s">
        <v>485</v>
      </c>
      <c r="B45" s="6" t="s">
        <v>486</v>
      </c>
      <c r="C45" s="6" t="s">
        <v>411</v>
      </c>
      <c r="D45" s="6" t="s">
        <v>487</v>
      </c>
      <c r="E45" s="6" t="s">
        <v>488</v>
      </c>
      <c r="F45" s="6" t="s">
        <v>489</v>
      </c>
      <c r="G45" s="6" t="s">
        <v>490</v>
      </c>
      <c r="H45" s="6" t="s">
        <v>491</v>
      </c>
      <c r="I45" s="6" t="s">
        <v>492</v>
      </c>
      <c r="J45" s="6" t="s">
        <v>129</v>
      </c>
      <c r="K45" s="6" t="s">
        <v>119</v>
      </c>
      <c r="L45" s="6" t="s">
        <v>193</v>
      </c>
      <c r="M45" s="6" t="s">
        <v>493</v>
      </c>
      <c r="N45" s="6" t="s">
        <v>494</v>
      </c>
      <c r="O45" s="6" t="s">
        <v>495</v>
      </c>
      <c r="P45" s="6" t="s">
        <v>496</v>
      </c>
      <c r="Q45" s="7" t="s">
        <v>110</v>
      </c>
    </row>
    <row r="46" customFormat="false" ht="22.35" hidden="false" customHeight="false" outlineLevel="0" collapsed="false">
      <c r="A46" s="6" t="s">
        <v>497</v>
      </c>
      <c r="B46" s="6" t="s">
        <v>498</v>
      </c>
      <c r="C46" s="6" t="s">
        <v>411</v>
      </c>
      <c r="D46" s="6" t="s">
        <v>487</v>
      </c>
      <c r="E46" s="6" t="s">
        <v>499</v>
      </c>
      <c r="F46" s="6" t="s">
        <v>500</v>
      </c>
      <c r="G46" s="6" t="s">
        <v>501</v>
      </c>
      <c r="H46" s="6" t="s">
        <v>502</v>
      </c>
      <c r="I46" s="6" t="s">
        <v>503</v>
      </c>
      <c r="J46" s="6" t="s">
        <v>270</v>
      </c>
      <c r="K46" s="6" t="s">
        <v>184</v>
      </c>
      <c r="L46" s="6" t="s">
        <v>120</v>
      </c>
      <c r="M46" s="6" t="s">
        <v>504</v>
      </c>
      <c r="N46" s="6" t="s">
        <v>505</v>
      </c>
      <c r="O46" s="6" t="s">
        <v>495</v>
      </c>
      <c r="P46" s="6" t="s">
        <v>506</v>
      </c>
      <c r="Q46" s="7" t="s">
        <v>110</v>
      </c>
    </row>
    <row r="47" customFormat="false" ht="22.35" hidden="false" customHeight="false" outlineLevel="0" collapsed="false">
      <c r="A47" s="6" t="s">
        <v>507</v>
      </c>
      <c r="B47" s="6" t="s">
        <v>508</v>
      </c>
      <c r="C47" s="6" t="s">
        <v>411</v>
      </c>
      <c r="D47" s="6" t="s">
        <v>509</v>
      </c>
      <c r="E47" s="6" t="s">
        <v>510</v>
      </c>
      <c r="F47" s="6" t="s">
        <v>511</v>
      </c>
      <c r="G47" s="6" t="s">
        <v>512</v>
      </c>
      <c r="H47" s="6" t="s">
        <v>513</v>
      </c>
      <c r="I47" s="6" t="s">
        <v>514</v>
      </c>
      <c r="J47" s="6" t="s">
        <v>515</v>
      </c>
      <c r="K47" s="6" t="s">
        <v>104</v>
      </c>
      <c r="L47" s="6" t="s">
        <v>105</v>
      </c>
      <c r="M47" s="6" t="s">
        <v>516</v>
      </c>
      <c r="N47" s="6" t="s">
        <v>517</v>
      </c>
      <c r="O47" s="6" t="s">
        <v>518</v>
      </c>
      <c r="P47" s="6" t="s">
        <v>519</v>
      </c>
      <c r="Q47" s="7" t="s">
        <v>110</v>
      </c>
    </row>
    <row r="48" customFormat="false" ht="22.35" hidden="false" customHeight="false" outlineLevel="0" collapsed="false">
      <c r="A48" s="6" t="s">
        <v>520</v>
      </c>
      <c r="B48" s="6" t="s">
        <v>521</v>
      </c>
      <c r="C48" s="6" t="s">
        <v>411</v>
      </c>
      <c r="D48" s="6" t="s">
        <v>509</v>
      </c>
      <c r="E48" s="6" t="s">
        <v>522</v>
      </c>
      <c r="F48" s="6" t="s">
        <v>523</v>
      </c>
      <c r="G48" s="6" t="s">
        <v>524</v>
      </c>
      <c r="H48" s="6" t="s">
        <v>525</v>
      </c>
      <c r="I48" s="6" t="s">
        <v>526</v>
      </c>
      <c r="J48" s="6" t="s">
        <v>349</v>
      </c>
      <c r="K48" s="6" t="s">
        <v>119</v>
      </c>
      <c r="L48" s="6" t="s">
        <v>120</v>
      </c>
      <c r="M48" s="6" t="s">
        <v>527</v>
      </c>
      <c r="N48" s="6" t="s">
        <v>528</v>
      </c>
      <c r="O48" s="6" t="s">
        <v>518</v>
      </c>
      <c r="P48" s="6" t="s">
        <v>529</v>
      </c>
      <c r="Q48" s="7" t="s">
        <v>110</v>
      </c>
    </row>
    <row r="49" customFormat="false" ht="22.35" hidden="false" customHeight="false" outlineLevel="0" collapsed="false">
      <c r="A49" s="6" t="s">
        <v>530</v>
      </c>
      <c r="B49" s="6" t="s">
        <v>531</v>
      </c>
      <c r="C49" s="6" t="s">
        <v>411</v>
      </c>
      <c r="D49" s="6" t="s">
        <v>509</v>
      </c>
      <c r="E49" s="6" t="s">
        <v>532</v>
      </c>
      <c r="F49" s="6" t="s">
        <v>523</v>
      </c>
      <c r="G49" s="6" t="s">
        <v>533</v>
      </c>
      <c r="H49" s="6" t="s">
        <v>534</v>
      </c>
      <c r="I49" s="6" t="s">
        <v>535</v>
      </c>
      <c r="J49" s="6" t="s">
        <v>405</v>
      </c>
      <c r="K49" s="6" t="s">
        <v>184</v>
      </c>
      <c r="L49" s="6" t="s">
        <v>120</v>
      </c>
      <c r="M49" s="6" t="s">
        <v>536</v>
      </c>
      <c r="N49" s="6" t="s">
        <v>537</v>
      </c>
      <c r="O49" s="6" t="s">
        <v>518</v>
      </c>
      <c r="P49" s="6" t="s">
        <v>538</v>
      </c>
      <c r="Q49" s="7" t="s">
        <v>110</v>
      </c>
    </row>
    <row r="50" customFormat="false" ht="22.35" hidden="false" customHeight="false" outlineLevel="0" collapsed="false">
      <c r="A50" s="6" t="s">
        <v>539</v>
      </c>
      <c r="B50" s="6" t="s">
        <v>540</v>
      </c>
      <c r="C50" s="6" t="s">
        <v>411</v>
      </c>
      <c r="D50" s="6" t="s">
        <v>509</v>
      </c>
      <c r="E50" s="6" t="s">
        <v>541</v>
      </c>
      <c r="F50" s="6" t="s">
        <v>542</v>
      </c>
      <c r="G50" s="6" t="s">
        <v>543</v>
      </c>
      <c r="H50" s="6" t="s">
        <v>544</v>
      </c>
      <c r="I50" s="6" t="s">
        <v>545</v>
      </c>
      <c r="J50" s="6" t="s">
        <v>129</v>
      </c>
      <c r="K50" s="6" t="s">
        <v>184</v>
      </c>
      <c r="L50" s="6" t="s">
        <v>120</v>
      </c>
      <c r="M50" s="6" t="s">
        <v>536</v>
      </c>
      <c r="N50" s="6" t="s">
        <v>537</v>
      </c>
      <c r="O50" s="6" t="s">
        <v>518</v>
      </c>
      <c r="P50" s="6" t="s">
        <v>546</v>
      </c>
      <c r="Q50" s="7" t="s">
        <v>110</v>
      </c>
    </row>
    <row r="51" customFormat="false" ht="22.35" hidden="false" customHeight="false" outlineLevel="0" collapsed="false">
      <c r="A51" s="6" t="s">
        <v>547</v>
      </c>
      <c r="B51" s="6" t="s">
        <v>548</v>
      </c>
      <c r="C51" s="6" t="s">
        <v>411</v>
      </c>
      <c r="D51" s="6" t="s">
        <v>549</v>
      </c>
      <c r="E51" s="6" t="s">
        <v>550</v>
      </c>
      <c r="F51" s="6" t="s">
        <v>551</v>
      </c>
      <c r="G51" s="6" t="s">
        <v>552</v>
      </c>
      <c r="H51" s="6" t="s">
        <v>553</v>
      </c>
      <c r="I51" s="6" t="s">
        <v>554</v>
      </c>
      <c r="J51" s="6" t="s">
        <v>555</v>
      </c>
      <c r="K51" s="6" t="s">
        <v>184</v>
      </c>
      <c r="L51" s="6" t="s">
        <v>120</v>
      </c>
      <c r="M51" s="6" t="s">
        <v>556</v>
      </c>
      <c r="N51" s="6" t="s">
        <v>557</v>
      </c>
      <c r="O51" s="6" t="s">
        <v>558</v>
      </c>
      <c r="P51" s="6" t="s">
        <v>559</v>
      </c>
      <c r="Q51" s="7" t="s">
        <v>110</v>
      </c>
    </row>
    <row r="52" customFormat="false" ht="22.35" hidden="false" customHeight="false" outlineLevel="0" collapsed="false">
      <c r="A52" s="6" t="s">
        <v>560</v>
      </c>
      <c r="B52" s="6" t="s">
        <v>561</v>
      </c>
      <c r="C52" s="6" t="s">
        <v>411</v>
      </c>
      <c r="D52" s="6" t="s">
        <v>549</v>
      </c>
      <c r="E52" s="6" t="s">
        <v>550</v>
      </c>
      <c r="F52" s="6" t="s">
        <v>562</v>
      </c>
      <c r="G52" s="6" t="s">
        <v>562</v>
      </c>
      <c r="H52" s="6" t="s">
        <v>563</v>
      </c>
      <c r="I52" s="6" t="s">
        <v>545</v>
      </c>
      <c r="J52" s="6" t="s">
        <v>118</v>
      </c>
      <c r="K52" s="6" t="s">
        <v>104</v>
      </c>
      <c r="L52" s="6" t="s">
        <v>105</v>
      </c>
      <c r="M52" s="6"/>
      <c r="N52" s="6" t="s">
        <v>537</v>
      </c>
      <c r="O52" s="6" t="s">
        <v>558</v>
      </c>
      <c r="P52" s="6" t="s">
        <v>564</v>
      </c>
      <c r="Q52" s="7" t="s">
        <v>110</v>
      </c>
    </row>
    <row r="53" customFormat="false" ht="22.35" hidden="false" customHeight="false" outlineLevel="0" collapsed="false">
      <c r="A53" s="6" t="s">
        <v>565</v>
      </c>
      <c r="B53" s="6" t="s">
        <v>566</v>
      </c>
      <c r="C53" s="6" t="s">
        <v>411</v>
      </c>
      <c r="D53" s="6" t="s">
        <v>567</v>
      </c>
      <c r="E53" s="6" t="s">
        <v>413</v>
      </c>
      <c r="F53" s="6" t="s">
        <v>156</v>
      </c>
      <c r="G53" s="6" t="s">
        <v>157</v>
      </c>
      <c r="H53" s="6" t="s">
        <v>158</v>
      </c>
      <c r="I53" s="6" t="s">
        <v>568</v>
      </c>
      <c r="J53" s="6" t="s">
        <v>160</v>
      </c>
      <c r="K53" s="6" t="s">
        <v>119</v>
      </c>
      <c r="L53" s="6" t="s">
        <v>120</v>
      </c>
      <c r="M53" s="6" t="s">
        <v>569</v>
      </c>
      <c r="N53" s="6" t="s">
        <v>570</v>
      </c>
      <c r="O53" s="6" t="s">
        <v>163</v>
      </c>
      <c r="P53" s="6" t="s">
        <v>571</v>
      </c>
      <c r="Q53" s="7" t="s">
        <v>110</v>
      </c>
    </row>
    <row r="54" customFormat="false" ht="22.35" hidden="false" customHeight="false" outlineLevel="0" collapsed="false">
      <c r="A54" s="6" t="s">
        <v>572</v>
      </c>
      <c r="B54" s="6" t="s">
        <v>573</v>
      </c>
      <c r="C54" s="6" t="s">
        <v>411</v>
      </c>
      <c r="D54" s="6" t="s">
        <v>567</v>
      </c>
      <c r="E54" s="6" t="s">
        <v>413</v>
      </c>
      <c r="F54" s="6" t="s">
        <v>156</v>
      </c>
      <c r="G54" s="6" t="s">
        <v>156</v>
      </c>
      <c r="H54" s="6" t="s">
        <v>158</v>
      </c>
      <c r="I54" s="6" t="s">
        <v>545</v>
      </c>
      <c r="J54" s="6" t="s">
        <v>176</v>
      </c>
      <c r="K54" s="6" t="s">
        <v>104</v>
      </c>
      <c r="L54" s="6" t="s">
        <v>105</v>
      </c>
      <c r="M54" s="6" t="s">
        <v>569</v>
      </c>
      <c r="N54" s="6" t="s">
        <v>574</v>
      </c>
      <c r="O54" s="6" t="s">
        <v>163</v>
      </c>
      <c r="P54" s="6" t="s">
        <v>575</v>
      </c>
      <c r="Q54" s="7" t="s">
        <v>110</v>
      </c>
    </row>
    <row r="55" customFormat="false" ht="22.35" hidden="false" customHeight="false" outlineLevel="0" collapsed="false">
      <c r="A55" s="6" t="s">
        <v>576</v>
      </c>
      <c r="B55" s="6" t="s">
        <v>577</v>
      </c>
      <c r="C55" s="6" t="s">
        <v>411</v>
      </c>
      <c r="D55" s="6" t="s">
        <v>578</v>
      </c>
      <c r="E55" s="6" t="s">
        <v>579</v>
      </c>
      <c r="F55" s="6" t="s">
        <v>580</v>
      </c>
      <c r="G55" s="6" t="s">
        <v>581</v>
      </c>
      <c r="H55" s="6" t="s">
        <v>582</v>
      </c>
      <c r="I55" s="6" t="s">
        <v>583</v>
      </c>
      <c r="J55" s="6" t="s">
        <v>183</v>
      </c>
      <c r="K55" s="6" t="s">
        <v>104</v>
      </c>
      <c r="L55" s="6" t="s">
        <v>105</v>
      </c>
      <c r="M55" s="6" t="s">
        <v>584</v>
      </c>
      <c r="N55" s="6" t="s">
        <v>585</v>
      </c>
      <c r="O55" s="6" t="s">
        <v>206</v>
      </c>
      <c r="P55" s="6" t="s">
        <v>586</v>
      </c>
      <c r="Q55" s="7" t="s">
        <v>110</v>
      </c>
    </row>
    <row r="56" customFormat="false" ht="22.35" hidden="false" customHeight="false" outlineLevel="0" collapsed="false">
      <c r="A56" s="6" t="s">
        <v>587</v>
      </c>
      <c r="B56" s="6" t="s">
        <v>588</v>
      </c>
      <c r="C56" s="6" t="s">
        <v>411</v>
      </c>
      <c r="D56" s="6" t="s">
        <v>578</v>
      </c>
      <c r="E56" s="6" t="s">
        <v>589</v>
      </c>
      <c r="F56" s="6" t="s">
        <v>580</v>
      </c>
      <c r="G56" s="6" t="s">
        <v>590</v>
      </c>
      <c r="H56" s="6" t="s">
        <v>591</v>
      </c>
      <c r="I56" s="6" t="s">
        <v>592</v>
      </c>
      <c r="J56" s="6" t="s">
        <v>349</v>
      </c>
      <c r="K56" s="6" t="s">
        <v>119</v>
      </c>
      <c r="L56" s="6" t="s">
        <v>280</v>
      </c>
      <c r="M56" s="6" t="s">
        <v>593</v>
      </c>
      <c r="N56" s="6" t="s">
        <v>594</v>
      </c>
      <c r="O56" s="6" t="s">
        <v>206</v>
      </c>
      <c r="P56" s="6" t="s">
        <v>595</v>
      </c>
      <c r="Q56" s="7" t="s">
        <v>110</v>
      </c>
    </row>
    <row r="57" customFormat="false" ht="32.8" hidden="false" customHeight="false" outlineLevel="0" collapsed="false">
      <c r="A57" s="6" t="s">
        <v>596</v>
      </c>
      <c r="B57" s="6" t="s">
        <v>597</v>
      </c>
      <c r="C57" s="6" t="s">
        <v>411</v>
      </c>
      <c r="D57" s="6" t="s">
        <v>578</v>
      </c>
      <c r="E57" s="6" t="s">
        <v>598</v>
      </c>
      <c r="F57" s="6" t="s">
        <v>580</v>
      </c>
      <c r="G57" s="6" t="s">
        <v>599</v>
      </c>
      <c r="H57" s="6" t="s">
        <v>600</v>
      </c>
      <c r="I57" s="6" t="s">
        <v>601</v>
      </c>
      <c r="J57" s="6" t="s">
        <v>405</v>
      </c>
      <c r="K57" s="6" t="s">
        <v>184</v>
      </c>
      <c r="L57" s="6" t="s">
        <v>120</v>
      </c>
      <c r="M57" s="6" t="s">
        <v>584</v>
      </c>
      <c r="N57" s="6" t="s">
        <v>602</v>
      </c>
      <c r="O57" s="6" t="s">
        <v>206</v>
      </c>
      <c r="P57" s="6" t="s">
        <v>603</v>
      </c>
      <c r="Q57" s="7" t="s">
        <v>110</v>
      </c>
    </row>
    <row r="58" customFormat="false" ht="22.35" hidden="false" customHeight="false" outlineLevel="0" collapsed="false">
      <c r="A58" s="6" t="s">
        <v>604</v>
      </c>
      <c r="B58" s="6" t="s">
        <v>605</v>
      </c>
      <c r="C58" s="6" t="s">
        <v>411</v>
      </c>
      <c r="D58" s="6" t="s">
        <v>606</v>
      </c>
      <c r="E58" s="6" t="s">
        <v>413</v>
      </c>
      <c r="F58" s="6" t="s">
        <v>607</v>
      </c>
      <c r="G58" s="6" t="s">
        <v>608</v>
      </c>
      <c r="H58" s="6" t="s">
        <v>609</v>
      </c>
      <c r="I58" s="6" t="s">
        <v>610</v>
      </c>
      <c r="J58" s="6" t="s">
        <v>349</v>
      </c>
      <c r="K58" s="6" t="s">
        <v>184</v>
      </c>
      <c r="L58" s="6" t="s">
        <v>120</v>
      </c>
      <c r="M58" s="6" t="s">
        <v>611</v>
      </c>
      <c r="N58" s="6" t="s">
        <v>612</v>
      </c>
      <c r="O58" s="6" t="s">
        <v>310</v>
      </c>
      <c r="P58" s="6" t="s">
        <v>613</v>
      </c>
      <c r="Q58" s="7" t="s">
        <v>110</v>
      </c>
    </row>
    <row r="59" customFormat="false" ht="22.35" hidden="false" customHeight="false" outlineLevel="0" collapsed="false">
      <c r="A59" s="6" t="s">
        <v>614</v>
      </c>
      <c r="B59" s="6" t="s">
        <v>615</v>
      </c>
      <c r="C59" s="6" t="s">
        <v>411</v>
      </c>
      <c r="D59" s="6" t="s">
        <v>606</v>
      </c>
      <c r="E59" s="6" t="s">
        <v>616</v>
      </c>
      <c r="F59" s="6" t="s">
        <v>607</v>
      </c>
      <c r="G59" s="6" t="s">
        <v>617</v>
      </c>
      <c r="H59" s="6" t="s">
        <v>618</v>
      </c>
      <c r="I59" s="6" t="s">
        <v>619</v>
      </c>
      <c r="J59" s="6" t="s">
        <v>270</v>
      </c>
      <c r="K59" s="6" t="s">
        <v>119</v>
      </c>
      <c r="L59" s="6" t="s">
        <v>105</v>
      </c>
      <c r="M59" s="6" t="s">
        <v>620</v>
      </c>
      <c r="N59" s="6" t="s">
        <v>621</v>
      </c>
      <c r="O59" s="6" t="s">
        <v>310</v>
      </c>
      <c r="P59" s="6" t="s">
        <v>622</v>
      </c>
      <c r="Q59" s="7" t="s">
        <v>110</v>
      </c>
    </row>
    <row r="60" customFormat="false" ht="22.35" hidden="false" customHeight="false" outlineLevel="0" collapsed="false">
      <c r="A60" s="6" t="s">
        <v>623</v>
      </c>
      <c r="B60" s="6" t="s">
        <v>624</v>
      </c>
      <c r="C60" s="6" t="s">
        <v>411</v>
      </c>
      <c r="D60" s="6" t="s">
        <v>606</v>
      </c>
      <c r="E60" s="6" t="s">
        <v>616</v>
      </c>
      <c r="F60" s="6" t="s">
        <v>625</v>
      </c>
      <c r="G60" s="6" t="s">
        <v>626</v>
      </c>
      <c r="H60" s="6" t="s">
        <v>609</v>
      </c>
      <c r="I60" s="6" t="s">
        <v>627</v>
      </c>
      <c r="J60" s="6" t="s">
        <v>628</v>
      </c>
      <c r="K60" s="6" t="s">
        <v>184</v>
      </c>
      <c r="L60" s="6" t="s">
        <v>120</v>
      </c>
      <c r="M60" s="6" t="s">
        <v>629</v>
      </c>
      <c r="N60" s="6" t="s">
        <v>630</v>
      </c>
      <c r="O60" s="6" t="s">
        <v>310</v>
      </c>
      <c r="P60" s="6" t="s">
        <v>631</v>
      </c>
      <c r="Q60" s="7" t="s">
        <v>110</v>
      </c>
    </row>
    <row r="61" customFormat="false" ht="22.35" hidden="false" customHeight="false" outlineLevel="0" collapsed="false">
      <c r="A61" s="6" t="s">
        <v>632</v>
      </c>
      <c r="B61" s="6" t="s">
        <v>633</v>
      </c>
      <c r="C61" s="6" t="s">
        <v>411</v>
      </c>
      <c r="D61" s="6" t="s">
        <v>634</v>
      </c>
      <c r="E61" s="6" t="s">
        <v>635</v>
      </c>
      <c r="F61" s="6" t="s">
        <v>636</v>
      </c>
      <c r="G61" s="6" t="s">
        <v>637</v>
      </c>
      <c r="H61" s="6" t="s">
        <v>638</v>
      </c>
      <c r="I61" s="6" t="s">
        <v>639</v>
      </c>
      <c r="J61" s="6" t="s">
        <v>183</v>
      </c>
      <c r="K61" s="6" t="s">
        <v>184</v>
      </c>
      <c r="L61" s="6" t="s">
        <v>120</v>
      </c>
      <c r="M61" s="6" t="s">
        <v>584</v>
      </c>
      <c r="N61" s="6" t="s">
        <v>640</v>
      </c>
      <c r="O61" s="6" t="s">
        <v>368</v>
      </c>
      <c r="P61" s="6" t="s">
        <v>641</v>
      </c>
      <c r="Q61" s="7" t="s">
        <v>110</v>
      </c>
    </row>
    <row r="62" customFormat="false" ht="22.35" hidden="false" customHeight="false" outlineLevel="0" collapsed="false">
      <c r="A62" s="6" t="s">
        <v>642</v>
      </c>
      <c r="B62" s="6" t="s">
        <v>643</v>
      </c>
      <c r="C62" s="6" t="s">
        <v>411</v>
      </c>
      <c r="D62" s="6" t="s">
        <v>634</v>
      </c>
      <c r="E62" s="6" t="s">
        <v>413</v>
      </c>
      <c r="F62" s="6" t="s">
        <v>156</v>
      </c>
      <c r="G62" s="6" t="s">
        <v>372</v>
      </c>
      <c r="H62" s="6" t="s">
        <v>644</v>
      </c>
      <c r="I62" s="6" t="s">
        <v>645</v>
      </c>
      <c r="J62" s="6" t="s">
        <v>646</v>
      </c>
      <c r="K62" s="6" t="s">
        <v>184</v>
      </c>
      <c r="L62" s="6" t="s">
        <v>120</v>
      </c>
      <c r="M62" s="6" t="s">
        <v>647</v>
      </c>
      <c r="N62" s="6" t="s">
        <v>367</v>
      </c>
      <c r="O62" s="6" t="s">
        <v>368</v>
      </c>
      <c r="P62" s="6" t="s">
        <v>648</v>
      </c>
      <c r="Q62" s="7" t="s">
        <v>110</v>
      </c>
    </row>
    <row r="63" customFormat="false" ht="22.35" hidden="false" customHeight="false" outlineLevel="0" collapsed="false">
      <c r="A63" s="6" t="s">
        <v>649</v>
      </c>
      <c r="B63" s="6" t="s">
        <v>650</v>
      </c>
      <c r="C63" s="6" t="s">
        <v>411</v>
      </c>
      <c r="D63" s="6" t="s">
        <v>634</v>
      </c>
      <c r="E63" s="6" t="s">
        <v>413</v>
      </c>
      <c r="F63" s="6" t="s">
        <v>479</v>
      </c>
      <c r="G63" s="6" t="s">
        <v>651</v>
      </c>
      <c r="H63" s="6" t="s">
        <v>364</v>
      </c>
      <c r="I63" s="6" t="s">
        <v>652</v>
      </c>
      <c r="J63" s="6" t="s">
        <v>349</v>
      </c>
      <c r="K63" s="6" t="s">
        <v>184</v>
      </c>
      <c r="L63" s="6" t="s">
        <v>120</v>
      </c>
      <c r="M63" s="6" t="s">
        <v>653</v>
      </c>
      <c r="N63" s="6" t="s">
        <v>376</v>
      </c>
      <c r="O63" s="6" t="s">
        <v>368</v>
      </c>
      <c r="P63" s="6" t="s">
        <v>654</v>
      </c>
      <c r="Q63" s="7" t="s">
        <v>110</v>
      </c>
    </row>
    <row r="64" customFormat="false" ht="22.35" hidden="false" customHeight="false" outlineLevel="0" collapsed="false">
      <c r="A64" s="6" t="s">
        <v>655</v>
      </c>
      <c r="B64" s="6" t="s">
        <v>656</v>
      </c>
      <c r="C64" s="6" t="s">
        <v>411</v>
      </c>
      <c r="D64" s="6" t="s">
        <v>657</v>
      </c>
      <c r="E64" s="6" t="s">
        <v>658</v>
      </c>
      <c r="F64" s="6" t="s">
        <v>659</v>
      </c>
      <c r="G64" s="6" t="s">
        <v>660</v>
      </c>
      <c r="H64" s="6" t="s">
        <v>661</v>
      </c>
      <c r="I64" s="6" t="s">
        <v>662</v>
      </c>
      <c r="J64" s="6" t="s">
        <v>270</v>
      </c>
      <c r="K64" s="6" t="s">
        <v>184</v>
      </c>
      <c r="L64" s="6" t="s">
        <v>120</v>
      </c>
      <c r="M64" s="6"/>
      <c r="N64" s="6" t="s">
        <v>483</v>
      </c>
      <c r="O64" s="6" t="s">
        <v>310</v>
      </c>
      <c r="P64" s="6" t="s">
        <v>663</v>
      </c>
      <c r="Q64" s="7" t="s">
        <v>110</v>
      </c>
    </row>
    <row r="65" customFormat="false" ht="22.35" hidden="false" customHeight="false" outlineLevel="0" collapsed="false">
      <c r="A65" s="6" t="s">
        <v>664</v>
      </c>
      <c r="B65" s="6" t="s">
        <v>665</v>
      </c>
      <c r="C65" s="6" t="s">
        <v>411</v>
      </c>
      <c r="D65" s="6" t="s">
        <v>657</v>
      </c>
      <c r="E65" s="6" t="s">
        <v>666</v>
      </c>
      <c r="F65" s="6" t="s">
        <v>455</v>
      </c>
      <c r="G65" s="6" t="s">
        <v>667</v>
      </c>
      <c r="H65" s="6" t="s">
        <v>661</v>
      </c>
      <c r="I65" s="6" t="s">
        <v>668</v>
      </c>
      <c r="J65" s="6" t="s">
        <v>349</v>
      </c>
      <c r="K65" s="6" t="s">
        <v>184</v>
      </c>
      <c r="L65" s="6" t="s">
        <v>120</v>
      </c>
      <c r="M65" s="6" t="s">
        <v>669</v>
      </c>
      <c r="N65" s="6" t="s">
        <v>670</v>
      </c>
      <c r="O65" s="6" t="s">
        <v>310</v>
      </c>
      <c r="P65" s="6" t="s">
        <v>671</v>
      </c>
      <c r="Q65" s="7" t="s">
        <v>110</v>
      </c>
    </row>
    <row r="66" customFormat="false" ht="22.35" hidden="false" customHeight="false" outlineLevel="0" collapsed="false">
      <c r="A66" s="6" t="s">
        <v>672</v>
      </c>
      <c r="B66" s="6" t="s">
        <v>673</v>
      </c>
      <c r="C66" s="6" t="s">
        <v>411</v>
      </c>
      <c r="D66" s="6" t="s">
        <v>674</v>
      </c>
      <c r="E66" s="6" t="s">
        <v>616</v>
      </c>
      <c r="F66" s="6" t="s">
        <v>675</v>
      </c>
      <c r="G66" s="6" t="s">
        <v>676</v>
      </c>
      <c r="H66" s="6" t="s">
        <v>677</v>
      </c>
      <c r="I66" s="6" t="s">
        <v>678</v>
      </c>
      <c r="J66" s="6" t="s">
        <v>555</v>
      </c>
      <c r="K66" s="6" t="s">
        <v>104</v>
      </c>
      <c r="L66" s="6" t="s">
        <v>193</v>
      </c>
      <c r="M66" s="6" t="s">
        <v>679</v>
      </c>
      <c r="N66" s="6" t="s">
        <v>680</v>
      </c>
      <c r="O66" s="6" t="s">
        <v>451</v>
      </c>
      <c r="P66" s="6" t="s">
        <v>681</v>
      </c>
      <c r="Q66" s="7" t="s">
        <v>110</v>
      </c>
    </row>
    <row r="67" customFormat="false" ht="22.35" hidden="false" customHeight="false" outlineLevel="0" collapsed="false">
      <c r="A67" s="6" t="s">
        <v>682</v>
      </c>
      <c r="B67" s="6" t="s">
        <v>683</v>
      </c>
      <c r="C67" s="6" t="s">
        <v>96</v>
      </c>
      <c r="D67" s="6" t="s">
        <v>97</v>
      </c>
      <c r="E67" s="6" t="s">
        <v>113</v>
      </c>
      <c r="F67" s="6" t="s">
        <v>99</v>
      </c>
      <c r="G67" s="6" t="s">
        <v>99</v>
      </c>
      <c r="H67" s="6"/>
      <c r="I67" s="6" t="s">
        <v>684</v>
      </c>
      <c r="J67" s="6"/>
      <c r="K67" s="6" t="s">
        <v>184</v>
      </c>
      <c r="L67" s="6" t="s">
        <v>685</v>
      </c>
      <c r="M67" s="6"/>
      <c r="N67" s="6"/>
      <c r="O67" s="6" t="s">
        <v>108</v>
      </c>
      <c r="P67" s="6" t="s">
        <v>686</v>
      </c>
      <c r="Q67" s="8" t="s">
        <v>687</v>
      </c>
    </row>
    <row r="68" customFormat="false" ht="22.35" hidden="false" customHeight="false" outlineLevel="0" collapsed="false">
      <c r="A68" s="6" t="s">
        <v>688</v>
      </c>
      <c r="B68" s="6" t="s">
        <v>689</v>
      </c>
      <c r="C68" s="6" t="s">
        <v>96</v>
      </c>
      <c r="D68" s="6" t="s">
        <v>690</v>
      </c>
      <c r="E68" s="6" t="s">
        <v>113</v>
      </c>
      <c r="F68" s="6" t="s">
        <v>691</v>
      </c>
      <c r="G68" s="6" t="s">
        <v>691</v>
      </c>
      <c r="H68" s="6"/>
      <c r="I68" s="6" t="s">
        <v>684</v>
      </c>
      <c r="J68" s="6"/>
      <c r="K68" s="6" t="s">
        <v>184</v>
      </c>
      <c r="L68" s="6" t="s">
        <v>685</v>
      </c>
      <c r="M68" s="6"/>
      <c r="N68" s="6"/>
      <c r="O68" s="6" t="s">
        <v>310</v>
      </c>
      <c r="P68" s="6" t="s">
        <v>692</v>
      </c>
      <c r="Q68" s="8" t="s">
        <v>687</v>
      </c>
    </row>
    <row r="69" customFormat="false" ht="22.35" hidden="false" customHeight="false" outlineLevel="0" collapsed="false">
      <c r="A69" s="6" t="s">
        <v>693</v>
      </c>
      <c r="B69" s="6" t="s">
        <v>694</v>
      </c>
      <c r="C69" s="6" t="s">
        <v>96</v>
      </c>
      <c r="D69" s="6" t="s">
        <v>695</v>
      </c>
      <c r="E69" s="6" t="s">
        <v>113</v>
      </c>
      <c r="F69" s="6" t="s">
        <v>414</v>
      </c>
      <c r="G69" s="6" t="s">
        <v>414</v>
      </c>
      <c r="H69" s="6"/>
      <c r="I69" s="6" t="s">
        <v>684</v>
      </c>
      <c r="J69" s="6"/>
      <c r="K69" s="6" t="s">
        <v>184</v>
      </c>
      <c r="L69" s="6" t="s">
        <v>685</v>
      </c>
      <c r="M69" s="6"/>
      <c r="N69" s="6"/>
      <c r="O69" s="6" t="s">
        <v>420</v>
      </c>
      <c r="P69" s="6" t="s">
        <v>696</v>
      </c>
      <c r="Q69" s="8" t="s">
        <v>687</v>
      </c>
    </row>
    <row r="70" customFormat="false" ht="22.35" hidden="false" customHeight="false" outlineLevel="0" collapsed="false">
      <c r="A70" s="6" t="s">
        <v>697</v>
      </c>
      <c r="B70" s="6" t="s">
        <v>698</v>
      </c>
      <c r="C70" s="6" t="s">
        <v>96</v>
      </c>
      <c r="D70" s="6" t="s">
        <v>487</v>
      </c>
      <c r="E70" s="6" t="s">
        <v>113</v>
      </c>
      <c r="F70" s="6" t="s">
        <v>500</v>
      </c>
      <c r="G70" s="6" t="s">
        <v>500</v>
      </c>
      <c r="H70" s="6"/>
      <c r="I70" s="6" t="s">
        <v>684</v>
      </c>
      <c r="J70" s="6"/>
      <c r="K70" s="6" t="s">
        <v>184</v>
      </c>
      <c r="L70" s="6" t="s">
        <v>685</v>
      </c>
      <c r="M70" s="6"/>
      <c r="N70" s="6"/>
      <c r="O70" s="6" t="s">
        <v>495</v>
      </c>
      <c r="P70" s="6" t="s">
        <v>699</v>
      </c>
      <c r="Q70" s="8" t="s">
        <v>687</v>
      </c>
    </row>
    <row r="71" customFormat="false" ht="22.35" hidden="false" customHeight="false" outlineLevel="0" collapsed="false">
      <c r="A71" s="6" t="s">
        <v>700</v>
      </c>
      <c r="B71" s="6" t="s">
        <v>701</v>
      </c>
      <c r="C71" s="6" t="s">
        <v>96</v>
      </c>
      <c r="D71" s="6" t="s">
        <v>444</v>
      </c>
      <c r="E71" s="6" t="s">
        <v>113</v>
      </c>
      <c r="F71" s="6" t="s">
        <v>393</v>
      </c>
      <c r="G71" s="6" t="s">
        <v>393</v>
      </c>
      <c r="H71" s="6"/>
      <c r="I71" s="6" t="s">
        <v>684</v>
      </c>
      <c r="J71" s="6"/>
      <c r="K71" s="6" t="s">
        <v>184</v>
      </c>
      <c r="L71" s="6" t="s">
        <v>685</v>
      </c>
      <c r="M71" s="6"/>
      <c r="N71" s="6"/>
      <c r="O71" s="6" t="s">
        <v>451</v>
      </c>
      <c r="P71" s="6" t="s">
        <v>702</v>
      </c>
      <c r="Q71" s="8" t="s">
        <v>687</v>
      </c>
    </row>
    <row r="72" customFormat="false" ht="22.35" hidden="false" customHeight="false" outlineLevel="0" collapsed="false">
      <c r="A72" s="6" t="s">
        <v>703</v>
      </c>
      <c r="B72" s="6" t="s">
        <v>704</v>
      </c>
      <c r="C72" s="6" t="s">
        <v>96</v>
      </c>
      <c r="D72" s="6" t="s">
        <v>487</v>
      </c>
      <c r="E72" s="6" t="s">
        <v>113</v>
      </c>
      <c r="F72" s="6" t="s">
        <v>500</v>
      </c>
      <c r="G72" s="6" t="s">
        <v>500</v>
      </c>
      <c r="H72" s="6"/>
      <c r="I72" s="6" t="s">
        <v>684</v>
      </c>
      <c r="J72" s="6"/>
      <c r="K72" s="6" t="s">
        <v>184</v>
      </c>
      <c r="L72" s="6" t="s">
        <v>685</v>
      </c>
      <c r="M72" s="6"/>
      <c r="N72" s="6"/>
      <c r="O72" s="6" t="s">
        <v>495</v>
      </c>
      <c r="P72" s="6" t="s">
        <v>705</v>
      </c>
      <c r="Q72" s="8" t="s">
        <v>687</v>
      </c>
    </row>
    <row r="73" customFormat="false" ht="22.35" hidden="false" customHeight="false" outlineLevel="0" collapsed="false">
      <c r="A73" s="6" t="s">
        <v>706</v>
      </c>
      <c r="B73" s="6" t="s">
        <v>707</v>
      </c>
      <c r="C73" s="6" t="s">
        <v>96</v>
      </c>
      <c r="D73" s="6" t="s">
        <v>444</v>
      </c>
      <c r="E73" s="6" t="s">
        <v>113</v>
      </c>
      <c r="F73" s="6" t="s">
        <v>393</v>
      </c>
      <c r="G73" s="6" t="s">
        <v>393</v>
      </c>
      <c r="H73" s="6"/>
      <c r="I73" s="6" t="s">
        <v>684</v>
      </c>
      <c r="J73" s="6"/>
      <c r="K73" s="6" t="s">
        <v>184</v>
      </c>
      <c r="L73" s="6" t="s">
        <v>685</v>
      </c>
      <c r="M73" s="6"/>
      <c r="N73" s="6"/>
      <c r="O73" s="6" t="s">
        <v>451</v>
      </c>
      <c r="P73" s="6" t="s">
        <v>708</v>
      </c>
      <c r="Q73" s="8" t="s">
        <v>687</v>
      </c>
    </row>
    <row r="74" customFormat="false" ht="22.35" hidden="false" customHeight="false" outlineLevel="0" collapsed="false">
      <c r="A74" s="6" t="s">
        <v>709</v>
      </c>
      <c r="B74" s="6" t="s">
        <v>710</v>
      </c>
      <c r="C74" s="6" t="s">
        <v>96</v>
      </c>
      <c r="D74" s="6" t="s">
        <v>695</v>
      </c>
      <c r="E74" s="6" t="s">
        <v>113</v>
      </c>
      <c r="F74" s="6" t="s">
        <v>463</v>
      </c>
      <c r="G74" s="6" t="s">
        <v>463</v>
      </c>
      <c r="H74" s="6"/>
      <c r="I74" s="6" t="s">
        <v>684</v>
      </c>
      <c r="J74" s="6"/>
      <c r="K74" s="6" t="s">
        <v>184</v>
      </c>
      <c r="L74" s="6" t="s">
        <v>685</v>
      </c>
      <c r="M74" s="6"/>
      <c r="N74" s="6"/>
      <c r="O74" s="6" t="s">
        <v>420</v>
      </c>
      <c r="P74" s="6" t="s">
        <v>711</v>
      </c>
      <c r="Q74" s="8" t="s">
        <v>687</v>
      </c>
    </row>
    <row r="75" customFormat="false" ht="22.35" hidden="false" customHeight="false" outlineLevel="0" collapsed="false">
      <c r="A75" s="6" t="s">
        <v>712</v>
      </c>
      <c r="B75" s="6" t="s">
        <v>713</v>
      </c>
      <c r="C75" s="6" t="s">
        <v>96</v>
      </c>
      <c r="D75" s="6" t="s">
        <v>690</v>
      </c>
      <c r="E75" s="6" t="s">
        <v>113</v>
      </c>
      <c r="F75" s="6" t="s">
        <v>607</v>
      </c>
      <c r="G75" s="6" t="s">
        <v>607</v>
      </c>
      <c r="H75" s="6"/>
      <c r="I75" s="6" t="s">
        <v>684</v>
      </c>
      <c r="J75" s="6"/>
      <c r="K75" s="6" t="s">
        <v>184</v>
      </c>
      <c r="L75" s="6" t="s">
        <v>685</v>
      </c>
      <c r="M75" s="6"/>
      <c r="N75" s="6"/>
      <c r="O75" s="6" t="s">
        <v>310</v>
      </c>
      <c r="P75" s="6" t="s">
        <v>714</v>
      </c>
      <c r="Q75" s="8" t="s">
        <v>687</v>
      </c>
    </row>
    <row r="76" customFormat="false" ht="22.35" hidden="false" customHeight="false" outlineLevel="0" collapsed="false">
      <c r="A76" s="6" t="s">
        <v>715</v>
      </c>
      <c r="B76" s="6" t="s">
        <v>716</v>
      </c>
      <c r="C76" s="6" t="s">
        <v>96</v>
      </c>
      <c r="D76" s="6" t="s">
        <v>690</v>
      </c>
      <c r="E76" s="6" t="s">
        <v>113</v>
      </c>
      <c r="F76" s="6" t="s">
        <v>607</v>
      </c>
      <c r="G76" s="6" t="s">
        <v>607</v>
      </c>
      <c r="H76" s="6"/>
      <c r="I76" s="6" t="s">
        <v>684</v>
      </c>
      <c r="J76" s="6"/>
      <c r="K76" s="6" t="s">
        <v>184</v>
      </c>
      <c r="L76" s="6" t="s">
        <v>685</v>
      </c>
      <c r="M76" s="6"/>
      <c r="N76" s="6"/>
      <c r="O76" s="6" t="s">
        <v>310</v>
      </c>
      <c r="P76" s="6" t="s">
        <v>717</v>
      </c>
      <c r="Q76" s="8" t="s">
        <v>687</v>
      </c>
    </row>
    <row r="77" customFormat="false" ht="22.35" hidden="false" customHeight="false" outlineLevel="0" collapsed="false">
      <c r="A77" s="6" t="s">
        <v>718</v>
      </c>
      <c r="B77" s="6" t="s">
        <v>719</v>
      </c>
      <c r="C77" s="6" t="s">
        <v>96</v>
      </c>
      <c r="D77" s="6" t="s">
        <v>97</v>
      </c>
      <c r="E77" s="6" t="s">
        <v>113</v>
      </c>
      <c r="F77" s="6" t="s">
        <v>99</v>
      </c>
      <c r="G77" s="6" t="s">
        <v>99</v>
      </c>
      <c r="H77" s="6"/>
      <c r="I77" s="6" t="s">
        <v>684</v>
      </c>
      <c r="J77" s="6"/>
      <c r="K77" s="6" t="s">
        <v>184</v>
      </c>
      <c r="L77" s="6" t="s">
        <v>685</v>
      </c>
      <c r="M77" s="6"/>
      <c r="N77" s="6"/>
      <c r="O77" s="6" t="s">
        <v>108</v>
      </c>
      <c r="P77" s="6" t="s">
        <v>720</v>
      </c>
      <c r="Q77" s="8" t="s">
        <v>687</v>
      </c>
    </row>
    <row r="78" customFormat="false" ht="22.35" hidden="false" customHeight="false" outlineLevel="0" collapsed="false">
      <c r="A78" s="6" t="s">
        <v>721</v>
      </c>
      <c r="B78" s="6" t="s">
        <v>722</v>
      </c>
      <c r="C78" s="6" t="s">
        <v>96</v>
      </c>
      <c r="D78" s="6" t="s">
        <v>690</v>
      </c>
      <c r="E78" s="6" t="s">
        <v>113</v>
      </c>
      <c r="F78" s="6" t="s">
        <v>607</v>
      </c>
      <c r="G78" s="6" t="s">
        <v>607</v>
      </c>
      <c r="H78" s="6"/>
      <c r="I78" s="6" t="s">
        <v>684</v>
      </c>
      <c r="J78" s="6"/>
      <c r="K78" s="6" t="s">
        <v>184</v>
      </c>
      <c r="L78" s="6" t="s">
        <v>685</v>
      </c>
      <c r="M78" s="6"/>
      <c r="N78" s="6"/>
      <c r="O78" s="6" t="s">
        <v>310</v>
      </c>
      <c r="P78" s="6" t="s">
        <v>723</v>
      </c>
      <c r="Q78" s="8" t="s">
        <v>687</v>
      </c>
    </row>
    <row r="79" customFormat="false" ht="22.35" hidden="false" customHeight="false" outlineLevel="0" collapsed="false">
      <c r="A79" s="6" t="s">
        <v>724</v>
      </c>
      <c r="B79" s="6" t="s">
        <v>725</v>
      </c>
      <c r="C79" s="6" t="s">
        <v>96</v>
      </c>
      <c r="D79" s="6" t="s">
        <v>695</v>
      </c>
      <c r="E79" s="6" t="s">
        <v>113</v>
      </c>
      <c r="F79" s="6" t="s">
        <v>463</v>
      </c>
      <c r="G79" s="6" t="s">
        <v>463</v>
      </c>
      <c r="H79" s="6"/>
      <c r="I79" s="6" t="s">
        <v>684</v>
      </c>
      <c r="J79" s="6"/>
      <c r="K79" s="6" t="s">
        <v>184</v>
      </c>
      <c r="L79" s="6" t="s">
        <v>685</v>
      </c>
      <c r="M79" s="6"/>
      <c r="N79" s="6"/>
      <c r="O79" s="6" t="s">
        <v>420</v>
      </c>
      <c r="P79" s="6" t="s">
        <v>726</v>
      </c>
      <c r="Q79" s="8" t="s">
        <v>687</v>
      </c>
    </row>
    <row r="80" customFormat="false" ht="22.35" hidden="false" customHeight="false" outlineLevel="0" collapsed="false">
      <c r="A80" s="6" t="s">
        <v>727</v>
      </c>
      <c r="B80" s="6" t="s">
        <v>728</v>
      </c>
      <c r="C80" s="6" t="s">
        <v>96</v>
      </c>
      <c r="D80" s="6" t="s">
        <v>487</v>
      </c>
      <c r="E80" s="6" t="s">
        <v>113</v>
      </c>
      <c r="F80" s="6" t="s">
        <v>500</v>
      </c>
      <c r="G80" s="6" t="s">
        <v>500</v>
      </c>
      <c r="H80" s="6"/>
      <c r="I80" s="6" t="s">
        <v>684</v>
      </c>
      <c r="J80" s="6"/>
      <c r="K80" s="6" t="s">
        <v>184</v>
      </c>
      <c r="L80" s="6" t="s">
        <v>685</v>
      </c>
      <c r="M80" s="6"/>
      <c r="N80" s="6"/>
      <c r="O80" s="6" t="s">
        <v>495</v>
      </c>
      <c r="P80" s="6" t="s">
        <v>729</v>
      </c>
      <c r="Q80" s="8" t="s">
        <v>687</v>
      </c>
    </row>
    <row r="81" customFormat="false" ht="22.35" hidden="false" customHeight="false" outlineLevel="0" collapsed="false">
      <c r="A81" s="6" t="s">
        <v>730</v>
      </c>
      <c r="B81" s="6" t="s">
        <v>731</v>
      </c>
      <c r="C81" s="6" t="s">
        <v>96</v>
      </c>
      <c r="D81" s="6" t="s">
        <v>732</v>
      </c>
      <c r="E81" s="6" t="s">
        <v>113</v>
      </c>
      <c r="F81" s="6" t="s">
        <v>315</v>
      </c>
      <c r="G81" s="6" t="s">
        <v>315</v>
      </c>
      <c r="H81" s="6"/>
      <c r="I81" s="6" t="s">
        <v>684</v>
      </c>
      <c r="J81" s="6"/>
      <c r="K81" s="6" t="s">
        <v>184</v>
      </c>
      <c r="L81" s="6" t="s">
        <v>685</v>
      </c>
      <c r="M81" s="6"/>
      <c r="N81" s="6"/>
      <c r="O81" s="6" t="s">
        <v>733</v>
      </c>
      <c r="P81" s="6" t="s">
        <v>734</v>
      </c>
      <c r="Q81" s="8" t="s">
        <v>687</v>
      </c>
    </row>
    <row r="82" customFormat="false" ht="22.35" hidden="false" customHeight="false" outlineLevel="0" collapsed="false">
      <c r="A82" s="6" t="s">
        <v>735</v>
      </c>
      <c r="B82" s="6" t="s">
        <v>736</v>
      </c>
      <c r="C82" s="6" t="s">
        <v>96</v>
      </c>
      <c r="D82" s="6" t="s">
        <v>578</v>
      </c>
      <c r="E82" s="6" t="s">
        <v>113</v>
      </c>
      <c r="F82" s="6" t="s">
        <v>200</v>
      </c>
      <c r="G82" s="6" t="s">
        <v>200</v>
      </c>
      <c r="H82" s="6"/>
      <c r="I82" s="6" t="s">
        <v>684</v>
      </c>
      <c r="J82" s="6"/>
      <c r="K82" s="6" t="s">
        <v>184</v>
      </c>
      <c r="L82" s="6" t="s">
        <v>685</v>
      </c>
      <c r="M82" s="6"/>
      <c r="N82" s="6"/>
      <c r="O82" s="6" t="s">
        <v>206</v>
      </c>
      <c r="P82" s="6" t="s">
        <v>737</v>
      </c>
      <c r="Q82" s="8" t="s">
        <v>687</v>
      </c>
    </row>
    <row r="83" customFormat="false" ht="22.35" hidden="false" customHeight="false" outlineLevel="0" collapsed="false">
      <c r="A83" s="6" t="s">
        <v>738</v>
      </c>
      <c r="B83" s="6" t="s">
        <v>739</v>
      </c>
      <c r="C83" s="6" t="s">
        <v>96</v>
      </c>
      <c r="D83" s="6" t="s">
        <v>578</v>
      </c>
      <c r="E83" s="6" t="s">
        <v>113</v>
      </c>
      <c r="F83" s="6" t="s">
        <v>200</v>
      </c>
      <c r="G83" s="6" t="s">
        <v>200</v>
      </c>
      <c r="H83" s="6"/>
      <c r="I83" s="6" t="s">
        <v>684</v>
      </c>
      <c r="J83" s="6"/>
      <c r="K83" s="6" t="s">
        <v>184</v>
      </c>
      <c r="L83" s="6" t="s">
        <v>685</v>
      </c>
      <c r="M83" s="6"/>
      <c r="N83" s="6"/>
      <c r="O83" s="6" t="s">
        <v>206</v>
      </c>
      <c r="P83" s="6" t="s">
        <v>740</v>
      </c>
      <c r="Q83" s="8" t="s">
        <v>687</v>
      </c>
    </row>
    <row r="84" customFormat="false" ht="22.35" hidden="false" customHeight="false" outlineLevel="0" collapsed="false">
      <c r="A84" s="6" t="s">
        <v>741</v>
      </c>
      <c r="B84" s="6" t="s">
        <v>742</v>
      </c>
      <c r="C84" s="6" t="s">
        <v>96</v>
      </c>
      <c r="D84" s="6" t="s">
        <v>690</v>
      </c>
      <c r="E84" s="6" t="s">
        <v>113</v>
      </c>
      <c r="F84" s="6" t="s">
        <v>743</v>
      </c>
      <c r="G84" s="6" t="s">
        <v>743</v>
      </c>
      <c r="H84" s="6"/>
      <c r="I84" s="6" t="s">
        <v>684</v>
      </c>
      <c r="J84" s="6"/>
      <c r="K84" s="6" t="s">
        <v>184</v>
      </c>
      <c r="L84" s="6" t="s">
        <v>685</v>
      </c>
      <c r="M84" s="6"/>
      <c r="N84" s="6"/>
      <c r="O84" s="6" t="s">
        <v>310</v>
      </c>
      <c r="P84" s="6" t="s">
        <v>744</v>
      </c>
      <c r="Q84" s="8" t="s">
        <v>687</v>
      </c>
    </row>
    <row r="85" customFormat="false" ht="22.35" hidden="false" customHeight="false" outlineLevel="0" collapsed="false">
      <c r="A85" s="6" t="s">
        <v>745</v>
      </c>
      <c r="B85" s="6" t="s">
        <v>746</v>
      </c>
      <c r="C85" s="6" t="s">
        <v>96</v>
      </c>
      <c r="D85" s="6" t="s">
        <v>690</v>
      </c>
      <c r="E85" s="6" t="s">
        <v>113</v>
      </c>
      <c r="F85" s="6" t="s">
        <v>743</v>
      </c>
      <c r="G85" s="6" t="s">
        <v>743</v>
      </c>
      <c r="H85" s="6"/>
      <c r="I85" s="6" t="s">
        <v>684</v>
      </c>
      <c r="J85" s="6"/>
      <c r="K85" s="6" t="s">
        <v>184</v>
      </c>
      <c r="L85" s="6" t="s">
        <v>685</v>
      </c>
      <c r="M85" s="6"/>
      <c r="N85" s="6"/>
      <c r="O85" s="6" t="s">
        <v>310</v>
      </c>
      <c r="P85" s="6" t="s">
        <v>747</v>
      </c>
      <c r="Q85" s="8" t="s">
        <v>687</v>
      </c>
    </row>
    <row r="86" customFormat="false" ht="22.35" hidden="false" customHeight="false" outlineLevel="0" collapsed="false">
      <c r="A86" s="6" t="s">
        <v>748</v>
      </c>
      <c r="B86" s="6" t="s">
        <v>749</v>
      </c>
      <c r="C86" s="6" t="s">
        <v>96</v>
      </c>
      <c r="D86" s="6" t="s">
        <v>750</v>
      </c>
      <c r="E86" s="6" t="s">
        <v>113</v>
      </c>
      <c r="F86" s="6" t="s">
        <v>243</v>
      </c>
      <c r="G86" s="6" t="s">
        <v>243</v>
      </c>
      <c r="H86" s="6"/>
      <c r="I86" s="6" t="s">
        <v>684</v>
      </c>
      <c r="J86" s="6"/>
      <c r="K86" s="6" t="s">
        <v>184</v>
      </c>
      <c r="L86" s="6" t="s">
        <v>685</v>
      </c>
      <c r="M86" s="6"/>
      <c r="N86" s="6"/>
      <c r="O86" s="6" t="s">
        <v>163</v>
      </c>
      <c r="P86" s="6" t="s">
        <v>751</v>
      </c>
      <c r="Q86" s="8" t="s">
        <v>687</v>
      </c>
    </row>
    <row r="87" customFormat="false" ht="22.35" hidden="false" customHeight="false" outlineLevel="0" collapsed="false">
      <c r="A87" s="6" t="s">
        <v>752</v>
      </c>
      <c r="B87" s="6" t="s">
        <v>753</v>
      </c>
      <c r="C87" s="6" t="s">
        <v>96</v>
      </c>
      <c r="D87" s="6" t="s">
        <v>690</v>
      </c>
      <c r="E87" s="6" t="s">
        <v>113</v>
      </c>
      <c r="F87" s="6" t="s">
        <v>743</v>
      </c>
      <c r="G87" s="6" t="s">
        <v>743</v>
      </c>
      <c r="H87" s="6"/>
      <c r="I87" s="6" t="s">
        <v>684</v>
      </c>
      <c r="J87" s="6"/>
      <c r="K87" s="6" t="s">
        <v>184</v>
      </c>
      <c r="L87" s="6" t="s">
        <v>685</v>
      </c>
      <c r="M87" s="6"/>
      <c r="N87" s="6"/>
      <c r="O87" s="6" t="s">
        <v>310</v>
      </c>
      <c r="P87" s="6" t="s">
        <v>754</v>
      </c>
      <c r="Q87" s="8" t="s">
        <v>687</v>
      </c>
    </row>
    <row r="88" customFormat="false" ht="22.35" hidden="false" customHeight="false" outlineLevel="0" collapsed="false">
      <c r="A88" s="6" t="s">
        <v>755</v>
      </c>
      <c r="B88" s="6" t="s">
        <v>756</v>
      </c>
      <c r="C88" s="6" t="s">
        <v>96</v>
      </c>
      <c r="D88" s="6" t="s">
        <v>690</v>
      </c>
      <c r="E88" s="6" t="s">
        <v>113</v>
      </c>
      <c r="F88" s="6" t="s">
        <v>743</v>
      </c>
      <c r="G88" s="6" t="s">
        <v>743</v>
      </c>
      <c r="H88" s="6"/>
      <c r="I88" s="6" t="s">
        <v>684</v>
      </c>
      <c r="J88" s="6"/>
      <c r="K88" s="6" t="s">
        <v>184</v>
      </c>
      <c r="L88" s="6" t="s">
        <v>685</v>
      </c>
      <c r="M88" s="6"/>
      <c r="N88" s="6"/>
      <c r="O88" s="6" t="s">
        <v>310</v>
      </c>
      <c r="P88" s="6" t="s">
        <v>757</v>
      </c>
      <c r="Q88" s="8" t="s">
        <v>687</v>
      </c>
    </row>
    <row r="89" customFormat="false" ht="22.35" hidden="false" customHeight="false" outlineLevel="0" collapsed="false">
      <c r="A89" s="6" t="s">
        <v>758</v>
      </c>
      <c r="B89" s="6" t="s">
        <v>759</v>
      </c>
      <c r="C89" s="6" t="s">
        <v>96</v>
      </c>
      <c r="D89" s="6" t="s">
        <v>97</v>
      </c>
      <c r="E89" s="6" t="s">
        <v>113</v>
      </c>
      <c r="F89" s="6" t="s">
        <v>99</v>
      </c>
      <c r="G89" s="6" t="s">
        <v>99</v>
      </c>
      <c r="H89" s="6"/>
      <c r="I89" s="6" t="s">
        <v>684</v>
      </c>
      <c r="J89" s="6"/>
      <c r="K89" s="6" t="s">
        <v>184</v>
      </c>
      <c r="L89" s="6" t="s">
        <v>685</v>
      </c>
      <c r="M89" s="6"/>
      <c r="N89" s="6"/>
      <c r="O89" s="6" t="s">
        <v>108</v>
      </c>
      <c r="P89" s="6" t="s">
        <v>760</v>
      </c>
      <c r="Q89" s="8" t="s">
        <v>687</v>
      </c>
    </row>
    <row r="90" customFormat="false" ht="22.35" hidden="false" customHeight="false" outlineLevel="0" collapsed="false">
      <c r="A90" s="6" t="s">
        <v>761</v>
      </c>
      <c r="B90" s="6" t="s">
        <v>762</v>
      </c>
      <c r="C90" s="6" t="s">
        <v>96</v>
      </c>
      <c r="D90" s="6" t="s">
        <v>690</v>
      </c>
      <c r="E90" s="6" t="s">
        <v>113</v>
      </c>
      <c r="F90" s="6" t="s">
        <v>336</v>
      </c>
      <c r="G90" s="6" t="s">
        <v>336</v>
      </c>
      <c r="H90" s="6"/>
      <c r="I90" s="6" t="s">
        <v>684</v>
      </c>
      <c r="J90" s="6"/>
      <c r="K90" s="6" t="s">
        <v>184</v>
      </c>
      <c r="L90" s="6" t="s">
        <v>685</v>
      </c>
      <c r="M90" s="6"/>
      <c r="N90" s="6"/>
      <c r="O90" s="6" t="s">
        <v>310</v>
      </c>
      <c r="P90" s="6" t="s">
        <v>763</v>
      </c>
      <c r="Q90" s="8" t="s">
        <v>687</v>
      </c>
    </row>
    <row r="91" customFormat="false" ht="22.35" hidden="false" customHeight="false" outlineLevel="0" collapsed="false">
      <c r="A91" s="6" t="s">
        <v>764</v>
      </c>
      <c r="B91" s="6" t="s">
        <v>765</v>
      </c>
      <c r="C91" s="6" t="s">
        <v>96</v>
      </c>
      <c r="D91" s="6" t="s">
        <v>690</v>
      </c>
      <c r="E91" s="6" t="s">
        <v>113</v>
      </c>
      <c r="F91" s="6" t="s">
        <v>336</v>
      </c>
      <c r="G91" s="6" t="s">
        <v>336</v>
      </c>
      <c r="H91" s="6"/>
      <c r="I91" s="6" t="s">
        <v>684</v>
      </c>
      <c r="J91" s="6"/>
      <c r="K91" s="6" t="s">
        <v>184</v>
      </c>
      <c r="L91" s="6" t="s">
        <v>685</v>
      </c>
      <c r="M91" s="6"/>
      <c r="N91" s="6"/>
      <c r="O91" s="6" t="s">
        <v>310</v>
      </c>
      <c r="P91" s="6" t="s">
        <v>766</v>
      </c>
      <c r="Q91" s="8" t="s">
        <v>687</v>
      </c>
    </row>
    <row r="92" customFormat="false" ht="22.35" hidden="false" customHeight="false" outlineLevel="0" collapsed="false">
      <c r="A92" s="6" t="s">
        <v>767</v>
      </c>
      <c r="B92" s="6" t="s">
        <v>768</v>
      </c>
      <c r="C92" s="6" t="s">
        <v>96</v>
      </c>
      <c r="D92" s="6" t="s">
        <v>578</v>
      </c>
      <c r="E92" s="6" t="s">
        <v>113</v>
      </c>
      <c r="F92" s="6" t="s">
        <v>200</v>
      </c>
      <c r="G92" s="6" t="s">
        <v>200</v>
      </c>
      <c r="H92" s="6"/>
      <c r="I92" s="6" t="s">
        <v>684</v>
      </c>
      <c r="J92" s="6"/>
      <c r="K92" s="6" t="s">
        <v>184</v>
      </c>
      <c r="L92" s="6" t="s">
        <v>685</v>
      </c>
      <c r="M92" s="6"/>
      <c r="N92" s="6"/>
      <c r="O92" s="6" t="s">
        <v>206</v>
      </c>
      <c r="P92" s="6" t="s">
        <v>769</v>
      </c>
      <c r="Q92" s="8" t="s">
        <v>687</v>
      </c>
    </row>
    <row r="93" customFormat="false" ht="22.35" hidden="false" customHeight="false" outlineLevel="0" collapsed="false">
      <c r="A93" s="6" t="s">
        <v>770</v>
      </c>
      <c r="B93" s="6" t="s">
        <v>771</v>
      </c>
      <c r="C93" s="6" t="s">
        <v>96</v>
      </c>
      <c r="D93" s="6" t="s">
        <v>578</v>
      </c>
      <c r="E93" s="6" t="s">
        <v>113</v>
      </c>
      <c r="F93" s="6" t="s">
        <v>200</v>
      </c>
      <c r="G93" s="6" t="s">
        <v>200</v>
      </c>
      <c r="H93" s="6"/>
      <c r="I93" s="6" t="s">
        <v>684</v>
      </c>
      <c r="J93" s="6"/>
      <c r="K93" s="6" t="s">
        <v>184</v>
      </c>
      <c r="L93" s="6" t="s">
        <v>685</v>
      </c>
      <c r="M93" s="6"/>
      <c r="N93" s="6"/>
      <c r="O93" s="6" t="s">
        <v>206</v>
      </c>
      <c r="P93" s="6" t="s">
        <v>772</v>
      </c>
      <c r="Q93" s="8" t="s">
        <v>687</v>
      </c>
    </row>
    <row r="94" customFormat="false" ht="22.35" hidden="false" customHeight="false" outlineLevel="0" collapsed="false">
      <c r="A94" s="6" t="s">
        <v>773</v>
      </c>
      <c r="B94" s="6" t="s">
        <v>774</v>
      </c>
      <c r="C94" s="6" t="s">
        <v>96</v>
      </c>
      <c r="D94" s="6" t="s">
        <v>750</v>
      </c>
      <c r="E94" s="6" t="s">
        <v>113</v>
      </c>
      <c r="F94" s="6" t="s">
        <v>156</v>
      </c>
      <c r="G94" s="6" t="s">
        <v>156</v>
      </c>
      <c r="H94" s="6"/>
      <c r="I94" s="6" t="s">
        <v>684</v>
      </c>
      <c r="J94" s="6"/>
      <c r="K94" s="6" t="s">
        <v>184</v>
      </c>
      <c r="L94" s="6" t="s">
        <v>685</v>
      </c>
      <c r="M94" s="6"/>
      <c r="N94" s="6"/>
      <c r="O94" s="6" t="s">
        <v>163</v>
      </c>
      <c r="P94" s="6" t="s">
        <v>775</v>
      </c>
      <c r="Q94" s="8" t="s">
        <v>687</v>
      </c>
    </row>
    <row r="95" customFormat="false" ht="22.35" hidden="false" customHeight="false" outlineLevel="0" collapsed="false">
      <c r="A95" s="6" t="s">
        <v>776</v>
      </c>
      <c r="B95" s="6" t="s">
        <v>777</v>
      </c>
      <c r="C95" s="6" t="s">
        <v>96</v>
      </c>
      <c r="D95" s="6" t="s">
        <v>750</v>
      </c>
      <c r="E95" s="6" t="s">
        <v>113</v>
      </c>
      <c r="F95" s="6" t="s">
        <v>156</v>
      </c>
      <c r="G95" s="6" t="s">
        <v>156</v>
      </c>
      <c r="H95" s="6"/>
      <c r="I95" s="6" t="s">
        <v>684</v>
      </c>
      <c r="J95" s="6"/>
      <c r="K95" s="6" t="s">
        <v>184</v>
      </c>
      <c r="L95" s="6" t="s">
        <v>685</v>
      </c>
      <c r="M95" s="6"/>
      <c r="N95" s="6"/>
      <c r="O95" s="6" t="s">
        <v>163</v>
      </c>
      <c r="P95" s="6" t="s">
        <v>778</v>
      </c>
      <c r="Q95" s="8" t="s">
        <v>687</v>
      </c>
    </row>
    <row r="96" customFormat="false" ht="22.35" hidden="false" customHeight="false" outlineLevel="0" collapsed="false">
      <c r="A96" s="6" t="s">
        <v>779</v>
      </c>
      <c r="B96" s="6" t="s">
        <v>780</v>
      </c>
      <c r="C96" s="6" t="s">
        <v>96</v>
      </c>
      <c r="D96" s="6" t="s">
        <v>750</v>
      </c>
      <c r="E96" s="6" t="s">
        <v>113</v>
      </c>
      <c r="F96" s="6" t="s">
        <v>156</v>
      </c>
      <c r="G96" s="6" t="s">
        <v>156</v>
      </c>
      <c r="H96" s="6"/>
      <c r="I96" s="6" t="s">
        <v>684</v>
      </c>
      <c r="J96" s="6"/>
      <c r="K96" s="6" t="s">
        <v>184</v>
      </c>
      <c r="L96" s="6" t="s">
        <v>685</v>
      </c>
      <c r="M96" s="6"/>
      <c r="N96" s="6"/>
      <c r="O96" s="6" t="s">
        <v>163</v>
      </c>
      <c r="P96" s="6" t="s">
        <v>781</v>
      </c>
      <c r="Q96" s="8" t="s">
        <v>687</v>
      </c>
    </row>
    <row r="97" customFormat="false" ht="22.35" hidden="false" customHeight="false" outlineLevel="0" collapsed="false">
      <c r="A97" s="6" t="s">
        <v>782</v>
      </c>
      <c r="B97" s="6" t="s">
        <v>783</v>
      </c>
      <c r="C97" s="6" t="s">
        <v>96</v>
      </c>
      <c r="D97" s="6" t="s">
        <v>97</v>
      </c>
      <c r="E97" s="6" t="s">
        <v>113</v>
      </c>
      <c r="F97" s="6" t="s">
        <v>99</v>
      </c>
      <c r="G97" s="6" t="s">
        <v>99</v>
      </c>
      <c r="H97" s="6"/>
      <c r="I97" s="6" t="s">
        <v>684</v>
      </c>
      <c r="J97" s="6"/>
      <c r="K97" s="6" t="s">
        <v>184</v>
      </c>
      <c r="L97" s="6" t="s">
        <v>685</v>
      </c>
      <c r="M97" s="6"/>
      <c r="N97" s="6"/>
      <c r="O97" s="6" t="s">
        <v>108</v>
      </c>
      <c r="P97" s="6" t="s">
        <v>784</v>
      </c>
      <c r="Q97" s="8" t="s">
        <v>687</v>
      </c>
    </row>
    <row r="98" customFormat="false" ht="22.35" hidden="false" customHeight="false" outlineLevel="0" collapsed="false">
      <c r="A98" s="6" t="s">
        <v>785</v>
      </c>
      <c r="B98" s="6" t="s">
        <v>786</v>
      </c>
      <c r="C98" s="6" t="s">
        <v>96</v>
      </c>
      <c r="D98" s="6" t="s">
        <v>750</v>
      </c>
      <c r="E98" s="6" t="s">
        <v>113</v>
      </c>
      <c r="F98" s="6" t="s">
        <v>156</v>
      </c>
      <c r="G98" s="6" t="s">
        <v>156</v>
      </c>
      <c r="H98" s="6"/>
      <c r="I98" s="6" t="s">
        <v>684</v>
      </c>
      <c r="J98" s="6"/>
      <c r="K98" s="6" t="s">
        <v>184</v>
      </c>
      <c r="L98" s="6" t="s">
        <v>685</v>
      </c>
      <c r="M98" s="6"/>
      <c r="N98" s="6"/>
      <c r="O98" s="6" t="s">
        <v>163</v>
      </c>
      <c r="P98" s="6" t="s">
        <v>787</v>
      </c>
      <c r="Q98" s="8" t="s">
        <v>687</v>
      </c>
    </row>
    <row r="99" customFormat="false" ht="22.35" hidden="false" customHeight="false" outlineLevel="0" collapsed="false">
      <c r="A99" s="6" t="s">
        <v>788</v>
      </c>
      <c r="B99" s="6" t="s">
        <v>789</v>
      </c>
      <c r="C99" s="6" t="s">
        <v>96</v>
      </c>
      <c r="D99" s="6" t="s">
        <v>97</v>
      </c>
      <c r="E99" s="6" t="s">
        <v>113</v>
      </c>
      <c r="F99" s="6" t="s">
        <v>99</v>
      </c>
      <c r="G99" s="6" t="s">
        <v>99</v>
      </c>
      <c r="H99" s="6"/>
      <c r="I99" s="6" t="s">
        <v>684</v>
      </c>
      <c r="J99" s="6"/>
      <c r="K99" s="6" t="s">
        <v>184</v>
      </c>
      <c r="L99" s="6" t="s">
        <v>685</v>
      </c>
      <c r="M99" s="6"/>
      <c r="N99" s="6"/>
      <c r="O99" s="6" t="s">
        <v>108</v>
      </c>
      <c r="P99" s="6" t="s">
        <v>790</v>
      </c>
      <c r="Q99" s="8" t="s">
        <v>687</v>
      </c>
    </row>
    <row r="100" customFormat="false" ht="22.35" hidden="false" customHeight="false" outlineLevel="0" collapsed="false">
      <c r="A100" s="6" t="s">
        <v>791</v>
      </c>
      <c r="B100" s="6" t="s">
        <v>792</v>
      </c>
      <c r="C100" s="6" t="s">
        <v>96</v>
      </c>
      <c r="D100" s="6" t="s">
        <v>578</v>
      </c>
      <c r="E100" s="6" t="s">
        <v>113</v>
      </c>
      <c r="F100" s="6" t="s">
        <v>200</v>
      </c>
      <c r="G100" s="6" t="s">
        <v>200</v>
      </c>
      <c r="H100" s="6"/>
      <c r="I100" s="6" t="s">
        <v>684</v>
      </c>
      <c r="J100" s="6"/>
      <c r="K100" s="6" t="s">
        <v>184</v>
      </c>
      <c r="L100" s="6" t="s">
        <v>685</v>
      </c>
      <c r="M100" s="6"/>
      <c r="N100" s="6"/>
      <c r="O100" s="6" t="s">
        <v>206</v>
      </c>
      <c r="P100" s="6" t="s">
        <v>793</v>
      </c>
      <c r="Q100" s="8" t="s">
        <v>687</v>
      </c>
    </row>
    <row r="101" customFormat="false" ht="22.35" hidden="false" customHeight="false" outlineLevel="0" collapsed="false">
      <c r="A101" s="6" t="s">
        <v>794</v>
      </c>
      <c r="B101" s="6" t="s">
        <v>795</v>
      </c>
      <c r="C101" s="6" t="s">
        <v>96</v>
      </c>
      <c r="D101" s="6" t="s">
        <v>750</v>
      </c>
      <c r="E101" s="6" t="s">
        <v>113</v>
      </c>
      <c r="F101" s="6" t="s">
        <v>156</v>
      </c>
      <c r="G101" s="6" t="s">
        <v>156</v>
      </c>
      <c r="H101" s="6"/>
      <c r="I101" s="6" t="s">
        <v>684</v>
      </c>
      <c r="J101" s="6"/>
      <c r="K101" s="6" t="s">
        <v>184</v>
      </c>
      <c r="L101" s="6" t="s">
        <v>685</v>
      </c>
      <c r="M101" s="6"/>
      <c r="N101" s="6"/>
      <c r="O101" s="6" t="s">
        <v>163</v>
      </c>
      <c r="P101" s="6" t="s">
        <v>796</v>
      </c>
      <c r="Q101" s="8" t="s">
        <v>687</v>
      </c>
    </row>
    <row r="102" customFormat="false" ht="22.35" hidden="false" customHeight="false" outlineLevel="0" collapsed="false">
      <c r="A102" s="6" t="s">
        <v>797</v>
      </c>
      <c r="B102" s="6" t="s">
        <v>798</v>
      </c>
      <c r="C102" s="6" t="s">
        <v>96</v>
      </c>
      <c r="D102" s="6" t="s">
        <v>750</v>
      </c>
      <c r="E102" s="6" t="s">
        <v>113</v>
      </c>
      <c r="F102" s="6" t="s">
        <v>156</v>
      </c>
      <c r="G102" s="6" t="s">
        <v>156</v>
      </c>
      <c r="H102" s="6"/>
      <c r="I102" s="6" t="s">
        <v>684</v>
      </c>
      <c r="J102" s="6"/>
      <c r="K102" s="6" t="s">
        <v>184</v>
      </c>
      <c r="L102" s="6" t="s">
        <v>685</v>
      </c>
      <c r="M102" s="6"/>
      <c r="N102" s="6"/>
      <c r="O102" s="6" t="s">
        <v>163</v>
      </c>
      <c r="P102" s="6" t="s">
        <v>109</v>
      </c>
      <c r="Q102" s="8" t="s">
        <v>687</v>
      </c>
    </row>
    <row r="103" customFormat="false" ht="22.35" hidden="false" customHeight="false" outlineLevel="0" collapsed="false">
      <c r="A103" s="6" t="s">
        <v>799</v>
      </c>
      <c r="B103" s="6" t="s">
        <v>800</v>
      </c>
      <c r="C103" s="6" t="s">
        <v>96</v>
      </c>
      <c r="D103" s="6" t="s">
        <v>801</v>
      </c>
      <c r="E103" s="6" t="s">
        <v>113</v>
      </c>
      <c r="F103" s="6" t="s">
        <v>156</v>
      </c>
      <c r="G103" s="6" t="s">
        <v>156</v>
      </c>
      <c r="H103" s="6"/>
      <c r="I103" s="6" t="s">
        <v>684</v>
      </c>
      <c r="J103" s="6"/>
      <c r="K103" s="6" t="s">
        <v>184</v>
      </c>
      <c r="L103" s="6" t="s">
        <v>685</v>
      </c>
      <c r="M103" s="6"/>
      <c r="N103" s="6"/>
      <c r="O103" s="6" t="s">
        <v>368</v>
      </c>
      <c r="P103" s="6" t="s">
        <v>123</v>
      </c>
      <c r="Q103" s="8" t="s">
        <v>687</v>
      </c>
    </row>
    <row r="104" customFormat="false" ht="22.35" hidden="false" customHeight="false" outlineLevel="0" collapsed="false">
      <c r="A104" s="6" t="s">
        <v>802</v>
      </c>
      <c r="B104" s="6" t="s">
        <v>803</v>
      </c>
      <c r="C104" s="6" t="s">
        <v>96</v>
      </c>
      <c r="D104" s="6" t="s">
        <v>97</v>
      </c>
      <c r="E104" s="6" t="s">
        <v>113</v>
      </c>
      <c r="F104" s="6" t="s">
        <v>99</v>
      </c>
      <c r="G104" s="6" t="s">
        <v>99</v>
      </c>
      <c r="H104" s="6"/>
      <c r="I104" s="6" t="s">
        <v>684</v>
      </c>
      <c r="J104" s="6"/>
      <c r="K104" s="6" t="s">
        <v>184</v>
      </c>
      <c r="L104" s="6" t="s">
        <v>685</v>
      </c>
      <c r="M104" s="6"/>
      <c r="N104" s="6"/>
      <c r="O104" s="6" t="s">
        <v>108</v>
      </c>
      <c r="P104" s="6" t="s">
        <v>132</v>
      </c>
      <c r="Q104" s="8" t="s">
        <v>687</v>
      </c>
    </row>
    <row r="105" customFormat="false" ht="22.35" hidden="false" customHeight="false" outlineLevel="0" collapsed="false">
      <c r="A105" s="6" t="s">
        <v>804</v>
      </c>
      <c r="B105" s="6" t="s">
        <v>805</v>
      </c>
      <c r="C105" s="6" t="s">
        <v>96</v>
      </c>
      <c r="D105" s="6" t="s">
        <v>578</v>
      </c>
      <c r="E105" s="6" t="s">
        <v>113</v>
      </c>
      <c r="F105" s="6" t="s">
        <v>200</v>
      </c>
      <c r="G105" s="6" t="s">
        <v>200</v>
      </c>
      <c r="H105" s="6"/>
      <c r="I105" s="6" t="s">
        <v>684</v>
      </c>
      <c r="J105" s="6"/>
      <c r="K105" s="6" t="s">
        <v>184</v>
      </c>
      <c r="L105" s="6" t="s">
        <v>685</v>
      </c>
      <c r="M105" s="6"/>
      <c r="N105" s="6"/>
      <c r="O105" s="6" t="s">
        <v>206</v>
      </c>
      <c r="P105" s="6" t="s">
        <v>142</v>
      </c>
      <c r="Q105" s="8" t="s">
        <v>687</v>
      </c>
    </row>
    <row r="106" customFormat="false" ht="22.35" hidden="false" customHeight="false" outlineLevel="0" collapsed="false">
      <c r="A106" s="6" t="s">
        <v>806</v>
      </c>
      <c r="B106" s="6" t="s">
        <v>807</v>
      </c>
      <c r="C106" s="6" t="s">
        <v>96</v>
      </c>
      <c r="D106" s="6" t="s">
        <v>97</v>
      </c>
      <c r="E106" s="6" t="s">
        <v>113</v>
      </c>
      <c r="F106" s="6" t="s">
        <v>99</v>
      </c>
      <c r="G106" s="6" t="s">
        <v>99</v>
      </c>
      <c r="H106" s="6"/>
      <c r="I106" s="6" t="s">
        <v>684</v>
      </c>
      <c r="J106" s="6"/>
      <c r="K106" s="6" t="s">
        <v>184</v>
      </c>
      <c r="L106" s="6" t="s">
        <v>685</v>
      </c>
      <c r="M106" s="6"/>
      <c r="N106" s="6"/>
      <c r="O106" s="6" t="s">
        <v>108</v>
      </c>
      <c r="P106" s="6" t="s">
        <v>151</v>
      </c>
      <c r="Q106" s="8" t="s">
        <v>687</v>
      </c>
    </row>
    <row r="107" customFormat="false" ht="22.35" hidden="false" customHeight="false" outlineLevel="0" collapsed="false">
      <c r="A107" s="6" t="s">
        <v>808</v>
      </c>
      <c r="B107" s="6" t="s">
        <v>809</v>
      </c>
      <c r="C107" s="6" t="s">
        <v>96</v>
      </c>
      <c r="D107" s="6" t="s">
        <v>97</v>
      </c>
      <c r="E107" s="6" t="s">
        <v>113</v>
      </c>
      <c r="F107" s="6" t="s">
        <v>99</v>
      </c>
      <c r="G107" s="6" t="s">
        <v>99</v>
      </c>
      <c r="H107" s="6"/>
      <c r="I107" s="6" t="s">
        <v>684</v>
      </c>
      <c r="J107" s="6"/>
      <c r="K107" s="6" t="s">
        <v>184</v>
      </c>
      <c r="L107" s="6" t="s">
        <v>685</v>
      </c>
      <c r="M107" s="6"/>
      <c r="N107" s="6"/>
      <c r="O107" s="6" t="s">
        <v>108</v>
      </c>
      <c r="P107" s="6" t="s">
        <v>164</v>
      </c>
      <c r="Q107" s="8" t="s">
        <v>687</v>
      </c>
    </row>
    <row r="108" customFormat="false" ht="22.35" hidden="false" customHeight="false" outlineLevel="0" collapsed="false">
      <c r="A108" s="6" t="s">
        <v>810</v>
      </c>
      <c r="B108" s="6" t="s">
        <v>811</v>
      </c>
      <c r="C108" s="6" t="s">
        <v>96</v>
      </c>
      <c r="D108" s="6" t="s">
        <v>97</v>
      </c>
      <c r="E108" s="6" t="s">
        <v>113</v>
      </c>
      <c r="F108" s="6" t="s">
        <v>99</v>
      </c>
      <c r="G108" s="6" t="s">
        <v>99</v>
      </c>
      <c r="H108" s="6"/>
      <c r="I108" s="6" t="s">
        <v>684</v>
      </c>
      <c r="J108" s="6"/>
      <c r="K108" s="6" t="s">
        <v>184</v>
      </c>
      <c r="L108" s="6" t="s">
        <v>685</v>
      </c>
      <c r="M108" s="6"/>
      <c r="N108" s="6"/>
      <c r="O108" s="6" t="s">
        <v>108</v>
      </c>
      <c r="P108" s="6" t="s">
        <v>170</v>
      </c>
      <c r="Q108" s="8" t="s">
        <v>687</v>
      </c>
    </row>
    <row r="109" customFormat="false" ht="22.35" hidden="false" customHeight="false" outlineLevel="0" collapsed="false">
      <c r="A109" s="6" t="s">
        <v>812</v>
      </c>
      <c r="B109" s="6" t="s">
        <v>813</v>
      </c>
      <c r="C109" s="6" t="s">
        <v>96</v>
      </c>
      <c r="D109" s="6" t="s">
        <v>750</v>
      </c>
      <c r="E109" s="6" t="s">
        <v>113</v>
      </c>
      <c r="F109" s="6" t="s">
        <v>156</v>
      </c>
      <c r="G109" s="6" t="s">
        <v>156</v>
      </c>
      <c r="H109" s="6"/>
      <c r="I109" s="6" t="s">
        <v>684</v>
      </c>
      <c r="J109" s="6"/>
      <c r="K109" s="6" t="s">
        <v>184</v>
      </c>
      <c r="L109" s="6" t="s">
        <v>685</v>
      </c>
      <c r="M109" s="6"/>
      <c r="N109" s="6"/>
      <c r="O109" s="6" t="s">
        <v>163</v>
      </c>
      <c r="P109" s="6" t="s">
        <v>178</v>
      </c>
      <c r="Q109" s="8" t="s">
        <v>687</v>
      </c>
    </row>
    <row r="110" customFormat="false" ht="22.35" hidden="false" customHeight="false" outlineLevel="0" collapsed="false">
      <c r="A110" s="6" t="s">
        <v>814</v>
      </c>
      <c r="B110" s="6" t="s">
        <v>815</v>
      </c>
      <c r="C110" s="6" t="s">
        <v>96</v>
      </c>
      <c r="D110" s="6" t="s">
        <v>690</v>
      </c>
      <c r="E110" s="6" t="s">
        <v>113</v>
      </c>
      <c r="F110" s="6" t="s">
        <v>479</v>
      </c>
      <c r="G110" s="6" t="s">
        <v>479</v>
      </c>
      <c r="H110" s="6"/>
      <c r="I110" s="6" t="s">
        <v>684</v>
      </c>
      <c r="J110" s="6"/>
      <c r="K110" s="6" t="s">
        <v>184</v>
      </c>
      <c r="L110" s="6" t="s">
        <v>685</v>
      </c>
      <c r="M110" s="6"/>
      <c r="N110" s="6"/>
      <c r="O110" s="6" t="s">
        <v>310</v>
      </c>
      <c r="P110" s="6" t="s">
        <v>187</v>
      </c>
      <c r="Q110" s="8" t="s">
        <v>687</v>
      </c>
    </row>
    <row r="111" customFormat="false" ht="22.35" hidden="false" customHeight="false" outlineLevel="0" collapsed="false">
      <c r="A111" s="6" t="s">
        <v>816</v>
      </c>
      <c r="B111" s="6" t="s">
        <v>817</v>
      </c>
      <c r="C111" s="6" t="s">
        <v>96</v>
      </c>
      <c r="D111" s="6" t="s">
        <v>690</v>
      </c>
      <c r="E111" s="6" t="s">
        <v>113</v>
      </c>
      <c r="F111" s="6" t="s">
        <v>479</v>
      </c>
      <c r="G111" s="6" t="s">
        <v>479</v>
      </c>
      <c r="H111" s="6"/>
      <c r="I111" s="6" t="s">
        <v>684</v>
      </c>
      <c r="J111" s="6"/>
      <c r="K111" s="6" t="s">
        <v>184</v>
      </c>
      <c r="L111" s="6" t="s">
        <v>685</v>
      </c>
      <c r="M111" s="6"/>
      <c r="N111" s="6"/>
      <c r="O111" s="6" t="s">
        <v>310</v>
      </c>
      <c r="P111" s="6" t="s">
        <v>196</v>
      </c>
      <c r="Q111" s="8" t="s">
        <v>687</v>
      </c>
    </row>
    <row r="112" customFormat="false" ht="22.35" hidden="false" customHeight="false" outlineLevel="0" collapsed="false">
      <c r="A112" s="6" t="s">
        <v>818</v>
      </c>
      <c r="B112" s="6" t="s">
        <v>819</v>
      </c>
      <c r="C112" s="6" t="s">
        <v>96</v>
      </c>
      <c r="D112" s="6" t="s">
        <v>690</v>
      </c>
      <c r="E112" s="6" t="s">
        <v>113</v>
      </c>
      <c r="F112" s="6" t="s">
        <v>479</v>
      </c>
      <c r="G112" s="6" t="s">
        <v>479</v>
      </c>
      <c r="H112" s="6"/>
      <c r="I112" s="6" t="s">
        <v>684</v>
      </c>
      <c r="J112" s="6"/>
      <c r="K112" s="6" t="s">
        <v>184</v>
      </c>
      <c r="L112" s="6" t="s">
        <v>685</v>
      </c>
      <c r="M112" s="6"/>
      <c r="N112" s="6"/>
      <c r="O112" s="6" t="s">
        <v>310</v>
      </c>
      <c r="P112" s="6" t="s">
        <v>207</v>
      </c>
      <c r="Q112" s="8" t="s">
        <v>687</v>
      </c>
    </row>
    <row r="113" customFormat="false" ht="22.35" hidden="false" customHeight="false" outlineLevel="0" collapsed="false">
      <c r="A113" s="6" t="s">
        <v>820</v>
      </c>
      <c r="B113" s="6" t="s">
        <v>821</v>
      </c>
      <c r="C113" s="6" t="s">
        <v>96</v>
      </c>
      <c r="D113" s="6" t="s">
        <v>750</v>
      </c>
      <c r="E113" s="6" t="s">
        <v>113</v>
      </c>
      <c r="F113" s="6" t="s">
        <v>156</v>
      </c>
      <c r="G113" s="6" t="s">
        <v>156</v>
      </c>
      <c r="H113" s="6"/>
      <c r="I113" s="6" t="s">
        <v>684</v>
      </c>
      <c r="J113" s="6"/>
      <c r="K113" s="6" t="s">
        <v>184</v>
      </c>
      <c r="L113" s="6" t="s">
        <v>685</v>
      </c>
      <c r="M113" s="6"/>
      <c r="N113" s="6"/>
      <c r="O113" s="6" t="s">
        <v>163</v>
      </c>
      <c r="P113" s="6" t="s">
        <v>216</v>
      </c>
      <c r="Q113" s="8" t="s">
        <v>687</v>
      </c>
    </row>
    <row r="114" customFormat="false" ht="22.35" hidden="false" customHeight="false" outlineLevel="0" collapsed="false">
      <c r="A114" s="6" t="s">
        <v>822</v>
      </c>
      <c r="B114" s="6" t="s">
        <v>823</v>
      </c>
      <c r="C114" s="6" t="s">
        <v>96</v>
      </c>
      <c r="D114" s="6" t="s">
        <v>578</v>
      </c>
      <c r="E114" s="6" t="s">
        <v>113</v>
      </c>
      <c r="F114" s="6" t="s">
        <v>210</v>
      </c>
      <c r="G114" s="6" t="s">
        <v>210</v>
      </c>
      <c r="H114" s="6"/>
      <c r="I114" s="6" t="s">
        <v>684</v>
      </c>
      <c r="J114" s="6"/>
      <c r="K114" s="6" t="s">
        <v>184</v>
      </c>
      <c r="L114" s="6" t="s">
        <v>685</v>
      </c>
      <c r="M114" s="6"/>
      <c r="N114" s="6"/>
      <c r="O114" s="6" t="s">
        <v>206</v>
      </c>
      <c r="P114" s="6" t="s">
        <v>223</v>
      </c>
      <c r="Q114" s="8" t="s">
        <v>687</v>
      </c>
    </row>
    <row r="115" customFormat="false" ht="22.35" hidden="false" customHeight="false" outlineLevel="0" collapsed="false">
      <c r="A115" s="6" t="s">
        <v>824</v>
      </c>
      <c r="B115" s="6" t="s">
        <v>825</v>
      </c>
      <c r="C115" s="6" t="s">
        <v>96</v>
      </c>
      <c r="D115" s="6" t="s">
        <v>578</v>
      </c>
      <c r="E115" s="6" t="s">
        <v>113</v>
      </c>
      <c r="F115" s="6" t="s">
        <v>210</v>
      </c>
      <c r="G115" s="6" t="s">
        <v>210</v>
      </c>
      <c r="H115" s="6"/>
      <c r="I115" s="6" t="s">
        <v>684</v>
      </c>
      <c r="J115" s="6"/>
      <c r="K115" s="6" t="s">
        <v>184</v>
      </c>
      <c r="L115" s="6" t="s">
        <v>685</v>
      </c>
      <c r="M115" s="6"/>
      <c r="N115" s="6"/>
      <c r="O115" s="6" t="s">
        <v>206</v>
      </c>
      <c r="P115" s="6" t="s">
        <v>231</v>
      </c>
      <c r="Q115" s="8" t="s">
        <v>687</v>
      </c>
    </row>
    <row r="116" customFormat="false" ht="22.35" hidden="false" customHeight="false" outlineLevel="0" collapsed="false">
      <c r="A116" s="6" t="s">
        <v>826</v>
      </c>
      <c r="B116" s="6" t="s">
        <v>827</v>
      </c>
      <c r="C116" s="6" t="s">
        <v>96</v>
      </c>
      <c r="D116" s="6" t="s">
        <v>578</v>
      </c>
      <c r="E116" s="6" t="s">
        <v>113</v>
      </c>
      <c r="F116" s="6" t="s">
        <v>210</v>
      </c>
      <c r="G116" s="6" t="s">
        <v>210</v>
      </c>
      <c r="H116" s="6"/>
      <c r="I116" s="6" t="s">
        <v>684</v>
      </c>
      <c r="J116" s="6"/>
      <c r="K116" s="6" t="s">
        <v>184</v>
      </c>
      <c r="L116" s="6" t="s">
        <v>685</v>
      </c>
      <c r="M116" s="6"/>
      <c r="N116" s="6"/>
      <c r="O116" s="6" t="s">
        <v>206</v>
      </c>
      <c r="P116" s="6" t="s">
        <v>238</v>
      </c>
      <c r="Q116" s="8" t="s">
        <v>687</v>
      </c>
    </row>
    <row r="117" customFormat="false" ht="22.35" hidden="false" customHeight="false" outlineLevel="0" collapsed="false">
      <c r="A117" s="6" t="s">
        <v>828</v>
      </c>
      <c r="B117" s="6" t="s">
        <v>829</v>
      </c>
      <c r="C117" s="6" t="s">
        <v>96</v>
      </c>
      <c r="D117" s="6" t="s">
        <v>578</v>
      </c>
      <c r="E117" s="6" t="s">
        <v>113</v>
      </c>
      <c r="F117" s="6" t="s">
        <v>210</v>
      </c>
      <c r="G117" s="6" t="s">
        <v>210</v>
      </c>
      <c r="H117" s="6"/>
      <c r="I117" s="6" t="s">
        <v>684</v>
      </c>
      <c r="J117" s="6"/>
      <c r="K117" s="6" t="s">
        <v>184</v>
      </c>
      <c r="L117" s="6" t="s">
        <v>685</v>
      </c>
      <c r="M117" s="6"/>
      <c r="N117" s="6"/>
      <c r="O117" s="6" t="s">
        <v>206</v>
      </c>
      <c r="P117" s="6" t="s">
        <v>249</v>
      </c>
      <c r="Q117" s="8" t="s">
        <v>687</v>
      </c>
    </row>
    <row r="118" customFormat="false" ht="22.35" hidden="false" customHeight="false" outlineLevel="0" collapsed="false">
      <c r="A118" s="6" t="s">
        <v>830</v>
      </c>
      <c r="B118" s="6" t="s">
        <v>831</v>
      </c>
      <c r="C118" s="6" t="s">
        <v>96</v>
      </c>
      <c r="D118" s="6" t="s">
        <v>578</v>
      </c>
      <c r="E118" s="6" t="s">
        <v>113</v>
      </c>
      <c r="F118" s="6" t="s">
        <v>210</v>
      </c>
      <c r="G118" s="6" t="s">
        <v>210</v>
      </c>
      <c r="H118" s="6"/>
      <c r="I118" s="6" t="s">
        <v>684</v>
      </c>
      <c r="J118" s="6"/>
      <c r="K118" s="6" t="s">
        <v>184</v>
      </c>
      <c r="L118" s="6" t="s">
        <v>685</v>
      </c>
      <c r="M118" s="6"/>
      <c r="N118" s="6"/>
      <c r="O118" s="6" t="s">
        <v>206</v>
      </c>
      <c r="P118" s="6" t="s">
        <v>256</v>
      </c>
      <c r="Q118" s="8" t="s">
        <v>687</v>
      </c>
    </row>
    <row r="119" customFormat="false" ht="22.35" hidden="false" customHeight="false" outlineLevel="0" collapsed="false">
      <c r="A119" s="6" t="s">
        <v>832</v>
      </c>
      <c r="B119" s="6" t="s">
        <v>833</v>
      </c>
      <c r="C119" s="6" t="s">
        <v>96</v>
      </c>
      <c r="D119" s="6" t="s">
        <v>801</v>
      </c>
      <c r="E119" s="6" t="s">
        <v>113</v>
      </c>
      <c r="F119" s="6" t="s">
        <v>156</v>
      </c>
      <c r="G119" s="6" t="s">
        <v>156</v>
      </c>
      <c r="H119" s="6"/>
      <c r="I119" s="6" t="s">
        <v>684</v>
      </c>
      <c r="J119" s="6"/>
      <c r="K119" s="6" t="s">
        <v>184</v>
      </c>
      <c r="L119" s="6" t="s">
        <v>685</v>
      </c>
      <c r="M119" s="6"/>
      <c r="N119" s="6"/>
      <c r="O119" s="6" t="s">
        <v>368</v>
      </c>
      <c r="P119" s="6" t="s">
        <v>264</v>
      </c>
      <c r="Q119" s="8" t="s">
        <v>687</v>
      </c>
    </row>
    <row r="120" customFormat="false" ht="22.35" hidden="false" customHeight="false" outlineLevel="0" collapsed="false">
      <c r="A120" s="6" t="s">
        <v>834</v>
      </c>
      <c r="B120" s="6" t="s">
        <v>835</v>
      </c>
      <c r="C120" s="6" t="s">
        <v>96</v>
      </c>
      <c r="D120" s="6" t="s">
        <v>750</v>
      </c>
      <c r="E120" s="6" t="s">
        <v>113</v>
      </c>
      <c r="F120" s="6" t="s">
        <v>156</v>
      </c>
      <c r="G120" s="6" t="s">
        <v>156</v>
      </c>
      <c r="H120" s="6"/>
      <c r="I120" s="6" t="s">
        <v>684</v>
      </c>
      <c r="J120" s="6"/>
      <c r="K120" s="6" t="s">
        <v>184</v>
      </c>
      <c r="L120" s="6" t="s">
        <v>685</v>
      </c>
      <c r="M120" s="6"/>
      <c r="N120" s="6"/>
      <c r="O120" s="6" t="s">
        <v>163</v>
      </c>
      <c r="P120" s="6" t="s">
        <v>272</v>
      </c>
      <c r="Q120" s="8" t="s">
        <v>687</v>
      </c>
    </row>
    <row r="121" customFormat="false" ht="22.35" hidden="false" customHeight="false" outlineLevel="0" collapsed="false">
      <c r="A121" s="6" t="s">
        <v>836</v>
      </c>
      <c r="B121" s="6" t="s">
        <v>837</v>
      </c>
      <c r="C121" s="6" t="s">
        <v>96</v>
      </c>
      <c r="D121" s="6" t="s">
        <v>750</v>
      </c>
      <c r="E121" s="6" t="s">
        <v>113</v>
      </c>
      <c r="F121" s="6" t="s">
        <v>156</v>
      </c>
      <c r="G121" s="6" t="s">
        <v>156</v>
      </c>
      <c r="H121" s="6"/>
      <c r="I121" s="6" t="s">
        <v>684</v>
      </c>
      <c r="J121" s="6"/>
      <c r="K121" s="6" t="s">
        <v>184</v>
      </c>
      <c r="L121" s="6" t="s">
        <v>685</v>
      </c>
      <c r="M121" s="6"/>
      <c r="N121" s="6"/>
      <c r="O121" s="6" t="s">
        <v>163</v>
      </c>
      <c r="P121" s="6" t="s">
        <v>283</v>
      </c>
      <c r="Q121" s="8" t="s">
        <v>687</v>
      </c>
    </row>
    <row r="122" customFormat="false" ht="32.8" hidden="false" customHeight="false" outlineLevel="0" collapsed="false">
      <c r="A122" s="6" t="s">
        <v>838</v>
      </c>
      <c r="B122" s="6" t="s">
        <v>839</v>
      </c>
      <c r="C122" s="6" t="s">
        <v>96</v>
      </c>
      <c r="D122" s="6" t="s">
        <v>750</v>
      </c>
      <c r="E122" s="6" t="s">
        <v>113</v>
      </c>
      <c r="F122" s="6" t="s">
        <v>156</v>
      </c>
      <c r="G122" s="6" t="s">
        <v>156</v>
      </c>
      <c r="H122" s="6"/>
      <c r="I122" s="6" t="s">
        <v>684</v>
      </c>
      <c r="J122" s="6"/>
      <c r="K122" s="6" t="s">
        <v>184</v>
      </c>
      <c r="L122" s="6" t="s">
        <v>685</v>
      </c>
      <c r="M122" s="6"/>
      <c r="N122" s="6"/>
      <c r="O122" s="6" t="s">
        <v>163</v>
      </c>
      <c r="P122" s="6" t="s">
        <v>292</v>
      </c>
      <c r="Q122" s="8" t="s">
        <v>687</v>
      </c>
    </row>
    <row r="123" customFormat="false" ht="22.35" hidden="false" customHeight="false" outlineLevel="0" collapsed="false">
      <c r="A123" s="6" t="s">
        <v>840</v>
      </c>
      <c r="B123" s="6" t="s">
        <v>841</v>
      </c>
      <c r="C123" s="6" t="s">
        <v>96</v>
      </c>
      <c r="D123" s="6" t="s">
        <v>750</v>
      </c>
      <c r="E123" s="6" t="s">
        <v>113</v>
      </c>
      <c r="F123" s="6" t="s">
        <v>156</v>
      </c>
      <c r="G123" s="6" t="s">
        <v>156</v>
      </c>
      <c r="H123" s="6"/>
      <c r="I123" s="6" t="s">
        <v>684</v>
      </c>
      <c r="J123" s="6"/>
      <c r="K123" s="6" t="s">
        <v>184</v>
      </c>
      <c r="L123" s="6" t="s">
        <v>685</v>
      </c>
      <c r="M123" s="6"/>
      <c r="N123" s="6"/>
      <c r="O123" s="6" t="s">
        <v>163</v>
      </c>
      <c r="P123" s="6" t="s">
        <v>299</v>
      </c>
      <c r="Q123" s="8" t="s">
        <v>687</v>
      </c>
    </row>
    <row r="124" customFormat="false" ht="22.35" hidden="false" customHeight="false" outlineLevel="0" collapsed="false">
      <c r="A124" s="6" t="s">
        <v>842</v>
      </c>
      <c r="B124" s="6" t="s">
        <v>843</v>
      </c>
      <c r="C124" s="6" t="s">
        <v>96</v>
      </c>
      <c r="D124" s="6" t="s">
        <v>801</v>
      </c>
      <c r="E124" s="6" t="s">
        <v>113</v>
      </c>
      <c r="F124" s="6" t="s">
        <v>156</v>
      </c>
      <c r="G124" s="6" t="s">
        <v>156</v>
      </c>
      <c r="H124" s="6"/>
      <c r="I124" s="6" t="s">
        <v>684</v>
      </c>
      <c r="J124" s="6"/>
      <c r="K124" s="6" t="s">
        <v>184</v>
      </c>
      <c r="L124" s="6" t="s">
        <v>685</v>
      </c>
      <c r="M124" s="6"/>
      <c r="N124" s="6"/>
      <c r="O124" s="6" t="s">
        <v>368</v>
      </c>
      <c r="P124" s="6" t="s">
        <v>311</v>
      </c>
      <c r="Q124" s="8" t="s">
        <v>687</v>
      </c>
    </row>
    <row r="125" customFormat="false" ht="22.35" hidden="false" customHeight="false" outlineLevel="0" collapsed="false">
      <c r="A125" s="6" t="s">
        <v>844</v>
      </c>
      <c r="B125" s="6" t="s">
        <v>845</v>
      </c>
      <c r="C125" s="6" t="s">
        <v>96</v>
      </c>
      <c r="D125" s="6" t="s">
        <v>801</v>
      </c>
      <c r="E125" s="6" t="s">
        <v>113</v>
      </c>
      <c r="F125" s="6" t="s">
        <v>156</v>
      </c>
      <c r="G125" s="6" t="s">
        <v>156</v>
      </c>
      <c r="H125" s="6"/>
      <c r="I125" s="6" t="s">
        <v>684</v>
      </c>
      <c r="J125" s="6"/>
      <c r="K125" s="6" t="s">
        <v>184</v>
      </c>
      <c r="L125" s="6" t="s">
        <v>685</v>
      </c>
      <c r="M125" s="6"/>
      <c r="N125" s="6"/>
      <c r="O125" s="6" t="s">
        <v>368</v>
      </c>
      <c r="P125" s="6" t="s">
        <v>321</v>
      </c>
      <c r="Q125" s="8" t="s">
        <v>687</v>
      </c>
    </row>
    <row r="126" customFormat="false" ht="22.35" hidden="false" customHeight="false" outlineLevel="0" collapsed="false">
      <c r="A126" s="6" t="s">
        <v>846</v>
      </c>
      <c r="B126" s="6" t="s">
        <v>847</v>
      </c>
      <c r="C126" s="6" t="s">
        <v>96</v>
      </c>
      <c r="D126" s="6" t="s">
        <v>750</v>
      </c>
      <c r="E126" s="6" t="s">
        <v>113</v>
      </c>
      <c r="F126" s="6" t="s">
        <v>156</v>
      </c>
      <c r="G126" s="6" t="s">
        <v>156</v>
      </c>
      <c r="H126" s="6"/>
      <c r="I126" s="6" t="s">
        <v>684</v>
      </c>
      <c r="J126" s="6"/>
      <c r="K126" s="6" t="s">
        <v>184</v>
      </c>
      <c r="L126" s="6" t="s">
        <v>685</v>
      </c>
      <c r="M126" s="6"/>
      <c r="N126" s="6"/>
      <c r="O126" s="6" t="s">
        <v>163</v>
      </c>
      <c r="P126" s="6" t="s">
        <v>332</v>
      </c>
      <c r="Q126" s="8" t="s">
        <v>687</v>
      </c>
    </row>
    <row r="127" customFormat="false" ht="22.35" hidden="false" customHeight="false" outlineLevel="0" collapsed="false">
      <c r="A127" s="6" t="s">
        <v>848</v>
      </c>
      <c r="B127" s="6" t="s">
        <v>849</v>
      </c>
      <c r="C127" s="6" t="s">
        <v>96</v>
      </c>
      <c r="D127" s="6" t="s">
        <v>750</v>
      </c>
      <c r="E127" s="6" t="s">
        <v>113</v>
      </c>
      <c r="F127" s="6" t="s">
        <v>156</v>
      </c>
      <c r="G127" s="6" t="s">
        <v>156</v>
      </c>
      <c r="H127" s="6"/>
      <c r="I127" s="6" t="s">
        <v>684</v>
      </c>
      <c r="J127" s="6"/>
      <c r="K127" s="6" t="s">
        <v>184</v>
      </c>
      <c r="L127" s="6" t="s">
        <v>685</v>
      </c>
      <c r="M127" s="6"/>
      <c r="N127" s="6"/>
      <c r="O127" s="6" t="s">
        <v>163</v>
      </c>
      <c r="P127" s="6" t="s">
        <v>341</v>
      </c>
      <c r="Q127" s="8" t="s">
        <v>687</v>
      </c>
    </row>
    <row r="128" customFormat="false" ht="22.35" hidden="false" customHeight="false" outlineLevel="0" collapsed="false">
      <c r="A128" s="6" t="s">
        <v>850</v>
      </c>
      <c r="B128" s="6" t="s">
        <v>851</v>
      </c>
      <c r="C128" s="6" t="s">
        <v>96</v>
      </c>
      <c r="D128" s="6" t="s">
        <v>750</v>
      </c>
      <c r="E128" s="6" t="s">
        <v>113</v>
      </c>
      <c r="F128" s="6" t="s">
        <v>156</v>
      </c>
      <c r="G128" s="6" t="s">
        <v>156</v>
      </c>
      <c r="H128" s="6"/>
      <c r="I128" s="6" t="s">
        <v>684</v>
      </c>
      <c r="J128" s="6"/>
      <c r="K128" s="6" t="s">
        <v>184</v>
      </c>
      <c r="L128" s="6" t="s">
        <v>685</v>
      </c>
      <c r="M128" s="6"/>
      <c r="N128" s="6"/>
      <c r="O128" s="6" t="s">
        <v>163</v>
      </c>
      <c r="P128" s="6" t="s">
        <v>350</v>
      </c>
      <c r="Q128" s="8" t="s">
        <v>687</v>
      </c>
    </row>
    <row r="129" customFormat="false" ht="22.35" hidden="false" customHeight="false" outlineLevel="0" collapsed="false">
      <c r="A129" s="6" t="s">
        <v>852</v>
      </c>
      <c r="B129" s="6" t="s">
        <v>853</v>
      </c>
      <c r="C129" s="6" t="s">
        <v>96</v>
      </c>
      <c r="D129" s="6" t="s">
        <v>695</v>
      </c>
      <c r="E129" s="6" t="s">
        <v>113</v>
      </c>
      <c r="F129" s="6" t="s">
        <v>414</v>
      </c>
      <c r="G129" s="6" t="s">
        <v>414</v>
      </c>
      <c r="H129" s="6"/>
      <c r="I129" s="6" t="s">
        <v>684</v>
      </c>
      <c r="J129" s="6"/>
      <c r="K129" s="6" t="s">
        <v>184</v>
      </c>
      <c r="L129" s="6" t="s">
        <v>685</v>
      </c>
      <c r="M129" s="6"/>
      <c r="N129" s="6"/>
      <c r="O129" s="6" t="s">
        <v>420</v>
      </c>
      <c r="P129" s="6" t="s">
        <v>358</v>
      </c>
      <c r="Q129" s="8" t="s">
        <v>687</v>
      </c>
    </row>
    <row r="130" customFormat="false" ht="22.35" hidden="false" customHeight="false" outlineLevel="0" collapsed="false">
      <c r="A130" s="6" t="s">
        <v>854</v>
      </c>
      <c r="B130" s="6" t="s">
        <v>855</v>
      </c>
      <c r="C130" s="6" t="s">
        <v>96</v>
      </c>
      <c r="D130" s="6" t="s">
        <v>856</v>
      </c>
      <c r="E130" s="6" t="s">
        <v>113</v>
      </c>
      <c r="F130" s="6" t="s">
        <v>551</v>
      </c>
      <c r="G130" s="6" t="s">
        <v>551</v>
      </c>
      <c r="H130" s="6"/>
      <c r="I130" s="6" t="s">
        <v>684</v>
      </c>
      <c r="J130" s="6"/>
      <c r="K130" s="6" t="s">
        <v>184</v>
      </c>
      <c r="L130" s="6" t="s">
        <v>685</v>
      </c>
      <c r="M130" s="6"/>
      <c r="N130" s="6"/>
      <c r="O130" s="6" t="s">
        <v>558</v>
      </c>
      <c r="P130" s="6" t="s">
        <v>369</v>
      </c>
      <c r="Q130" s="8" t="s">
        <v>687</v>
      </c>
    </row>
    <row r="131" customFormat="false" ht="22.35" hidden="false" customHeight="false" outlineLevel="0" collapsed="false">
      <c r="A131" s="6" t="s">
        <v>857</v>
      </c>
      <c r="B131" s="6" t="s">
        <v>858</v>
      </c>
      <c r="C131" s="6" t="s">
        <v>96</v>
      </c>
      <c r="D131" s="6" t="s">
        <v>578</v>
      </c>
      <c r="E131" s="6" t="s">
        <v>113</v>
      </c>
      <c r="F131" s="6" t="s">
        <v>200</v>
      </c>
      <c r="G131" s="6" t="s">
        <v>200</v>
      </c>
      <c r="H131" s="6"/>
      <c r="I131" s="6" t="s">
        <v>684</v>
      </c>
      <c r="J131" s="6"/>
      <c r="K131" s="6" t="s">
        <v>184</v>
      </c>
      <c r="L131" s="6" t="s">
        <v>685</v>
      </c>
      <c r="M131" s="6"/>
      <c r="N131" s="6"/>
      <c r="O131" s="6" t="s">
        <v>206</v>
      </c>
      <c r="P131" s="6" t="s">
        <v>377</v>
      </c>
      <c r="Q131" s="8" t="s">
        <v>687</v>
      </c>
    </row>
    <row r="132" customFormat="false" ht="22.35" hidden="false" customHeight="false" outlineLevel="0" collapsed="false">
      <c r="A132" s="6" t="s">
        <v>859</v>
      </c>
      <c r="B132" s="6" t="s">
        <v>860</v>
      </c>
      <c r="C132" s="6" t="s">
        <v>96</v>
      </c>
      <c r="D132" s="6" t="s">
        <v>578</v>
      </c>
      <c r="E132" s="6" t="s">
        <v>113</v>
      </c>
      <c r="F132" s="6" t="s">
        <v>210</v>
      </c>
      <c r="G132" s="6" t="s">
        <v>210</v>
      </c>
      <c r="H132" s="6"/>
      <c r="I132" s="6" t="s">
        <v>684</v>
      </c>
      <c r="J132" s="6"/>
      <c r="K132" s="6" t="s">
        <v>184</v>
      </c>
      <c r="L132" s="6" t="s">
        <v>685</v>
      </c>
      <c r="M132" s="6"/>
      <c r="N132" s="6"/>
      <c r="O132" s="6" t="s">
        <v>206</v>
      </c>
      <c r="P132" s="6" t="s">
        <v>388</v>
      </c>
      <c r="Q132" s="8" t="s">
        <v>687</v>
      </c>
    </row>
    <row r="133" customFormat="false" ht="22.35" hidden="false" customHeight="false" outlineLevel="0" collapsed="false">
      <c r="A133" s="6" t="s">
        <v>861</v>
      </c>
      <c r="B133" s="6" t="s">
        <v>862</v>
      </c>
      <c r="C133" s="6" t="s">
        <v>96</v>
      </c>
      <c r="D133" s="6" t="s">
        <v>856</v>
      </c>
      <c r="E133" s="6" t="s">
        <v>113</v>
      </c>
      <c r="F133" s="6" t="s">
        <v>551</v>
      </c>
      <c r="G133" s="6" t="s">
        <v>551</v>
      </c>
      <c r="H133" s="6"/>
      <c r="I133" s="6" t="s">
        <v>684</v>
      </c>
      <c r="J133" s="6"/>
      <c r="K133" s="6" t="s">
        <v>184</v>
      </c>
      <c r="L133" s="6" t="s">
        <v>685</v>
      </c>
      <c r="M133" s="6"/>
      <c r="N133" s="6"/>
      <c r="O133" s="6" t="s">
        <v>558</v>
      </c>
      <c r="P133" s="6" t="s">
        <v>398</v>
      </c>
      <c r="Q133" s="8" t="s">
        <v>687</v>
      </c>
    </row>
    <row r="134" customFormat="false" ht="22.35" hidden="false" customHeight="false" outlineLevel="0" collapsed="false">
      <c r="A134" s="6" t="s">
        <v>863</v>
      </c>
      <c r="B134" s="6" t="s">
        <v>864</v>
      </c>
      <c r="C134" s="6" t="s">
        <v>96</v>
      </c>
      <c r="D134" s="6" t="s">
        <v>690</v>
      </c>
      <c r="E134" s="6" t="s">
        <v>113</v>
      </c>
      <c r="F134" s="6" t="s">
        <v>607</v>
      </c>
      <c r="G134" s="6" t="s">
        <v>607</v>
      </c>
      <c r="H134" s="6"/>
      <c r="I134" s="6" t="s">
        <v>684</v>
      </c>
      <c r="J134" s="6"/>
      <c r="K134" s="6" t="s">
        <v>184</v>
      </c>
      <c r="L134" s="6" t="s">
        <v>685</v>
      </c>
      <c r="M134" s="6"/>
      <c r="N134" s="6"/>
      <c r="O134" s="6" t="s">
        <v>310</v>
      </c>
      <c r="P134" s="6" t="s">
        <v>408</v>
      </c>
      <c r="Q134" s="8" t="s">
        <v>687</v>
      </c>
    </row>
    <row r="135" customFormat="false" ht="22.35" hidden="false" customHeight="false" outlineLevel="0" collapsed="false">
      <c r="A135" s="6" t="s">
        <v>865</v>
      </c>
      <c r="B135" s="6" t="s">
        <v>866</v>
      </c>
      <c r="C135" s="6" t="s">
        <v>96</v>
      </c>
      <c r="D135" s="6" t="s">
        <v>750</v>
      </c>
      <c r="E135" s="6" t="s">
        <v>113</v>
      </c>
      <c r="F135" s="6" t="s">
        <v>304</v>
      </c>
      <c r="G135" s="6" t="s">
        <v>304</v>
      </c>
      <c r="H135" s="6"/>
      <c r="I135" s="6" t="s">
        <v>684</v>
      </c>
      <c r="J135" s="6"/>
      <c r="K135" s="6" t="s">
        <v>184</v>
      </c>
      <c r="L135" s="6" t="s">
        <v>685</v>
      </c>
      <c r="M135" s="6"/>
      <c r="N135" s="6"/>
      <c r="O135" s="6" t="s">
        <v>163</v>
      </c>
      <c r="P135" s="6" t="s">
        <v>421</v>
      </c>
      <c r="Q135" s="8" t="s">
        <v>687</v>
      </c>
    </row>
    <row r="136" customFormat="false" ht="22.35" hidden="false" customHeight="false" outlineLevel="0" collapsed="false">
      <c r="A136" s="6" t="s">
        <v>867</v>
      </c>
      <c r="B136" s="6" t="s">
        <v>868</v>
      </c>
      <c r="C136" s="6" t="s">
        <v>96</v>
      </c>
      <c r="D136" s="6" t="s">
        <v>690</v>
      </c>
      <c r="E136" s="6" t="s">
        <v>113</v>
      </c>
      <c r="F136" s="6" t="s">
        <v>562</v>
      </c>
      <c r="G136" s="6" t="s">
        <v>562</v>
      </c>
      <c r="H136" s="6"/>
      <c r="I136" s="6" t="s">
        <v>684</v>
      </c>
      <c r="J136" s="6"/>
      <c r="K136" s="6" t="s">
        <v>184</v>
      </c>
      <c r="L136" s="6" t="s">
        <v>685</v>
      </c>
      <c r="M136" s="6"/>
      <c r="N136" s="6"/>
      <c r="O136" s="6" t="s">
        <v>310</v>
      </c>
      <c r="P136" s="6" t="s">
        <v>426</v>
      </c>
      <c r="Q136" s="8" t="s">
        <v>687</v>
      </c>
    </row>
    <row r="137" customFormat="false" ht="22.35" hidden="false" customHeight="false" outlineLevel="0" collapsed="false">
      <c r="A137" s="6" t="s">
        <v>869</v>
      </c>
      <c r="B137" s="6" t="s">
        <v>870</v>
      </c>
      <c r="C137" s="6" t="s">
        <v>96</v>
      </c>
      <c r="D137" s="6" t="s">
        <v>690</v>
      </c>
      <c r="E137" s="6" t="s">
        <v>113</v>
      </c>
      <c r="F137" s="6" t="s">
        <v>691</v>
      </c>
      <c r="G137" s="6" t="s">
        <v>691</v>
      </c>
      <c r="H137" s="6"/>
      <c r="I137" s="6" t="s">
        <v>684</v>
      </c>
      <c r="J137" s="6"/>
      <c r="K137" s="6" t="s">
        <v>184</v>
      </c>
      <c r="L137" s="6" t="s">
        <v>685</v>
      </c>
      <c r="M137" s="6"/>
      <c r="N137" s="6"/>
      <c r="O137" s="6" t="s">
        <v>310</v>
      </c>
      <c r="P137" s="6" t="s">
        <v>431</v>
      </c>
      <c r="Q137" s="8" t="s">
        <v>687</v>
      </c>
    </row>
    <row r="138" customFormat="false" ht="22.35" hidden="false" customHeight="false" outlineLevel="0" collapsed="false">
      <c r="A138" s="6" t="s">
        <v>871</v>
      </c>
      <c r="B138" s="6" t="s">
        <v>872</v>
      </c>
      <c r="C138" s="6" t="s">
        <v>96</v>
      </c>
      <c r="D138" s="6" t="s">
        <v>732</v>
      </c>
      <c r="E138" s="6" t="s">
        <v>113</v>
      </c>
      <c r="F138" s="6" t="s">
        <v>315</v>
      </c>
      <c r="G138" s="6" t="s">
        <v>315</v>
      </c>
      <c r="H138" s="6"/>
      <c r="I138" s="6" t="s">
        <v>684</v>
      </c>
      <c r="J138" s="6"/>
      <c r="K138" s="6" t="s">
        <v>184</v>
      </c>
      <c r="L138" s="6" t="s">
        <v>685</v>
      </c>
      <c r="M138" s="6"/>
      <c r="N138" s="6"/>
      <c r="O138" s="6" t="s">
        <v>733</v>
      </c>
      <c r="P138" s="6" t="s">
        <v>436</v>
      </c>
      <c r="Q138" s="8" t="s">
        <v>687</v>
      </c>
    </row>
    <row r="139" customFormat="false" ht="32.8" hidden="false" customHeight="false" outlineLevel="0" collapsed="false">
      <c r="A139" s="6" t="s">
        <v>873</v>
      </c>
      <c r="B139" s="6" t="s">
        <v>874</v>
      </c>
      <c r="C139" s="6" t="s">
        <v>96</v>
      </c>
      <c r="D139" s="6" t="s">
        <v>750</v>
      </c>
      <c r="E139" s="6" t="s">
        <v>113</v>
      </c>
      <c r="F139" s="6" t="s">
        <v>156</v>
      </c>
      <c r="G139" s="6" t="s">
        <v>156</v>
      </c>
      <c r="H139" s="6"/>
      <c r="I139" s="6" t="s">
        <v>684</v>
      </c>
      <c r="J139" s="6"/>
      <c r="K139" s="6" t="s">
        <v>184</v>
      </c>
      <c r="L139" s="6" t="s">
        <v>685</v>
      </c>
      <c r="M139" s="6"/>
      <c r="N139" s="6"/>
      <c r="O139" s="6" t="s">
        <v>163</v>
      </c>
      <c r="P139" s="6" t="s">
        <v>441</v>
      </c>
      <c r="Q139" s="8" t="s">
        <v>687</v>
      </c>
    </row>
    <row r="140" customFormat="false" ht="22.35" hidden="false" customHeight="false" outlineLevel="0" collapsed="false">
      <c r="A140" s="6" t="s">
        <v>875</v>
      </c>
      <c r="B140" s="6" t="s">
        <v>876</v>
      </c>
      <c r="C140" s="6" t="s">
        <v>96</v>
      </c>
      <c r="D140" s="6" t="s">
        <v>690</v>
      </c>
      <c r="E140" s="6" t="s">
        <v>113</v>
      </c>
      <c r="F140" s="6" t="s">
        <v>607</v>
      </c>
      <c r="G140" s="6" t="s">
        <v>607</v>
      </c>
      <c r="H140" s="6"/>
      <c r="I140" s="6" t="s">
        <v>684</v>
      </c>
      <c r="J140" s="6"/>
      <c r="K140" s="6" t="s">
        <v>184</v>
      </c>
      <c r="L140" s="6" t="s">
        <v>685</v>
      </c>
      <c r="M140" s="6"/>
      <c r="N140" s="6"/>
      <c r="O140" s="6" t="s">
        <v>310</v>
      </c>
      <c r="P140" s="6" t="s">
        <v>452</v>
      </c>
      <c r="Q140" s="8" t="s">
        <v>687</v>
      </c>
    </row>
    <row r="141" customFormat="false" ht="22.35" hidden="false" customHeight="false" outlineLevel="0" collapsed="false">
      <c r="A141" s="6" t="s">
        <v>877</v>
      </c>
      <c r="B141" s="6" t="s">
        <v>878</v>
      </c>
      <c r="C141" s="6" t="s">
        <v>96</v>
      </c>
      <c r="D141" s="6" t="s">
        <v>801</v>
      </c>
      <c r="E141" s="6" t="s">
        <v>113</v>
      </c>
      <c r="F141" s="6" t="s">
        <v>156</v>
      </c>
      <c r="G141" s="6" t="s">
        <v>156</v>
      </c>
      <c r="H141" s="6"/>
      <c r="I141" s="6" t="s">
        <v>684</v>
      </c>
      <c r="J141" s="6"/>
      <c r="K141" s="6" t="s">
        <v>184</v>
      </c>
      <c r="L141" s="6" t="s">
        <v>685</v>
      </c>
      <c r="M141" s="6"/>
      <c r="N141" s="6"/>
      <c r="O141" s="6" t="s">
        <v>368</v>
      </c>
      <c r="P141" s="6" t="s">
        <v>460</v>
      </c>
      <c r="Q141" s="8" t="s">
        <v>687</v>
      </c>
    </row>
    <row r="142" customFormat="false" ht="22.35" hidden="false" customHeight="false" outlineLevel="0" collapsed="false">
      <c r="A142" s="6" t="s">
        <v>879</v>
      </c>
      <c r="B142" s="6" t="s">
        <v>880</v>
      </c>
      <c r="C142" s="6" t="s">
        <v>96</v>
      </c>
      <c r="D142" s="6" t="s">
        <v>750</v>
      </c>
      <c r="E142" s="6" t="s">
        <v>113</v>
      </c>
      <c r="F142" s="6" t="s">
        <v>881</v>
      </c>
      <c r="G142" s="6" t="s">
        <v>881</v>
      </c>
      <c r="H142" s="6"/>
      <c r="I142" s="6" t="s">
        <v>684</v>
      </c>
      <c r="J142" s="6"/>
      <c r="K142" s="6" t="s">
        <v>184</v>
      </c>
      <c r="L142" s="6" t="s">
        <v>685</v>
      </c>
      <c r="M142" s="6"/>
      <c r="N142" s="6"/>
      <c r="O142" s="6" t="s">
        <v>163</v>
      </c>
      <c r="P142" s="6" t="s">
        <v>467</v>
      </c>
      <c r="Q142" s="8" t="s">
        <v>687</v>
      </c>
    </row>
    <row r="143" customFormat="false" ht="22.35" hidden="false" customHeight="false" outlineLevel="0" collapsed="false">
      <c r="A143" s="6" t="s">
        <v>882</v>
      </c>
      <c r="B143" s="6" t="s">
        <v>883</v>
      </c>
      <c r="C143" s="6" t="s">
        <v>96</v>
      </c>
      <c r="D143" s="6" t="s">
        <v>801</v>
      </c>
      <c r="E143" s="6" t="s">
        <v>113</v>
      </c>
      <c r="F143" s="6" t="s">
        <v>156</v>
      </c>
      <c r="G143" s="6" t="s">
        <v>156</v>
      </c>
      <c r="H143" s="6"/>
      <c r="I143" s="6" t="s">
        <v>684</v>
      </c>
      <c r="J143" s="6"/>
      <c r="K143" s="6" t="s">
        <v>184</v>
      </c>
      <c r="L143" s="6" t="s">
        <v>685</v>
      </c>
      <c r="M143" s="6"/>
      <c r="N143" s="6"/>
      <c r="O143" s="6" t="s">
        <v>368</v>
      </c>
      <c r="P143" s="6" t="s">
        <v>476</v>
      </c>
      <c r="Q143" s="8" t="s">
        <v>687</v>
      </c>
    </row>
    <row r="144" customFormat="false" ht="22.35" hidden="false" customHeight="false" outlineLevel="0" collapsed="false">
      <c r="A144" s="6" t="s">
        <v>884</v>
      </c>
      <c r="B144" s="6" t="s">
        <v>885</v>
      </c>
      <c r="C144" s="6" t="s">
        <v>96</v>
      </c>
      <c r="D144" s="6" t="s">
        <v>750</v>
      </c>
      <c r="E144" s="6" t="s">
        <v>113</v>
      </c>
      <c r="F144" s="6" t="s">
        <v>243</v>
      </c>
      <c r="G144" s="6" t="s">
        <v>243</v>
      </c>
      <c r="H144" s="6"/>
      <c r="I144" s="6" t="s">
        <v>684</v>
      </c>
      <c r="J144" s="6"/>
      <c r="K144" s="6" t="s">
        <v>184</v>
      </c>
      <c r="L144" s="6" t="s">
        <v>685</v>
      </c>
      <c r="M144" s="6"/>
      <c r="N144" s="6"/>
      <c r="O144" s="6" t="s">
        <v>163</v>
      </c>
      <c r="P144" s="6" t="s">
        <v>484</v>
      </c>
      <c r="Q144" s="8" t="s">
        <v>687</v>
      </c>
    </row>
    <row r="145" customFormat="false" ht="22.35" hidden="false" customHeight="false" outlineLevel="0" collapsed="false">
      <c r="A145" s="6" t="s">
        <v>886</v>
      </c>
      <c r="B145" s="6" t="s">
        <v>887</v>
      </c>
      <c r="C145" s="6" t="s">
        <v>96</v>
      </c>
      <c r="D145" s="6" t="s">
        <v>750</v>
      </c>
      <c r="E145" s="6" t="s">
        <v>113</v>
      </c>
      <c r="F145" s="6" t="s">
        <v>243</v>
      </c>
      <c r="G145" s="6" t="s">
        <v>243</v>
      </c>
      <c r="H145" s="6"/>
      <c r="I145" s="6" t="s">
        <v>684</v>
      </c>
      <c r="J145" s="6"/>
      <c r="K145" s="6" t="s">
        <v>184</v>
      </c>
      <c r="L145" s="6" t="s">
        <v>685</v>
      </c>
      <c r="M145" s="6"/>
      <c r="N145" s="6"/>
      <c r="O145" s="6" t="s">
        <v>163</v>
      </c>
      <c r="P145" s="6" t="s">
        <v>496</v>
      </c>
      <c r="Q145" s="8" t="s">
        <v>687</v>
      </c>
    </row>
    <row r="146" customFormat="false" ht="22.35" hidden="false" customHeight="false" outlineLevel="0" collapsed="false">
      <c r="A146" s="6" t="s">
        <v>888</v>
      </c>
      <c r="B146" s="6" t="s">
        <v>889</v>
      </c>
      <c r="C146" s="6" t="s">
        <v>96</v>
      </c>
      <c r="D146" s="6" t="s">
        <v>750</v>
      </c>
      <c r="E146" s="6" t="s">
        <v>113</v>
      </c>
      <c r="F146" s="6" t="s">
        <v>243</v>
      </c>
      <c r="G146" s="6" t="s">
        <v>243</v>
      </c>
      <c r="H146" s="6"/>
      <c r="I146" s="6" t="s">
        <v>684</v>
      </c>
      <c r="J146" s="6"/>
      <c r="K146" s="6" t="s">
        <v>184</v>
      </c>
      <c r="L146" s="6" t="s">
        <v>685</v>
      </c>
      <c r="M146" s="6"/>
      <c r="N146" s="6"/>
      <c r="O146" s="6" t="s">
        <v>163</v>
      </c>
      <c r="P146" s="6" t="s">
        <v>506</v>
      </c>
      <c r="Q146" s="8" t="s">
        <v>687</v>
      </c>
    </row>
    <row r="147" customFormat="false" ht="22.35" hidden="false" customHeight="false" outlineLevel="0" collapsed="false">
      <c r="A147" s="6" t="s">
        <v>890</v>
      </c>
      <c r="B147" s="6" t="s">
        <v>891</v>
      </c>
      <c r="C147" s="6" t="s">
        <v>96</v>
      </c>
      <c r="D147" s="6" t="s">
        <v>750</v>
      </c>
      <c r="E147" s="6" t="s">
        <v>113</v>
      </c>
      <c r="F147" s="6" t="s">
        <v>276</v>
      </c>
      <c r="G147" s="6" t="s">
        <v>276</v>
      </c>
      <c r="H147" s="6"/>
      <c r="I147" s="6" t="s">
        <v>684</v>
      </c>
      <c r="J147" s="6"/>
      <c r="K147" s="6" t="s">
        <v>184</v>
      </c>
      <c r="L147" s="6" t="s">
        <v>685</v>
      </c>
      <c r="M147" s="6"/>
      <c r="N147" s="6"/>
      <c r="O147" s="6" t="s">
        <v>163</v>
      </c>
      <c r="P147" s="6" t="s">
        <v>519</v>
      </c>
      <c r="Q147" s="8" t="s">
        <v>687</v>
      </c>
    </row>
    <row r="148" customFormat="false" ht="22.35" hidden="false" customHeight="false" outlineLevel="0" collapsed="false">
      <c r="A148" s="6" t="s">
        <v>892</v>
      </c>
      <c r="B148" s="6" t="s">
        <v>893</v>
      </c>
      <c r="C148" s="6" t="s">
        <v>96</v>
      </c>
      <c r="D148" s="6" t="s">
        <v>750</v>
      </c>
      <c r="E148" s="6" t="s">
        <v>113</v>
      </c>
      <c r="F148" s="6" t="s">
        <v>156</v>
      </c>
      <c r="G148" s="6" t="s">
        <v>156</v>
      </c>
      <c r="H148" s="6"/>
      <c r="I148" s="6" t="s">
        <v>684</v>
      </c>
      <c r="J148" s="6"/>
      <c r="K148" s="6" t="s">
        <v>184</v>
      </c>
      <c r="L148" s="6" t="s">
        <v>685</v>
      </c>
      <c r="M148" s="6"/>
      <c r="N148" s="6"/>
      <c r="O148" s="6" t="s">
        <v>163</v>
      </c>
      <c r="P148" s="6" t="s">
        <v>529</v>
      </c>
      <c r="Q148" s="8" t="s">
        <v>687</v>
      </c>
    </row>
    <row r="149" customFormat="false" ht="22.35" hidden="false" customHeight="false" outlineLevel="0" collapsed="false">
      <c r="A149" s="6" t="s">
        <v>894</v>
      </c>
      <c r="B149" s="6" t="s">
        <v>895</v>
      </c>
      <c r="C149" s="6" t="s">
        <v>96</v>
      </c>
      <c r="D149" s="6" t="s">
        <v>750</v>
      </c>
      <c r="E149" s="6" t="s">
        <v>113</v>
      </c>
      <c r="F149" s="6" t="s">
        <v>156</v>
      </c>
      <c r="G149" s="6" t="s">
        <v>156</v>
      </c>
      <c r="H149" s="6"/>
      <c r="I149" s="6" t="s">
        <v>684</v>
      </c>
      <c r="J149" s="6"/>
      <c r="K149" s="6" t="s">
        <v>184</v>
      </c>
      <c r="L149" s="6" t="s">
        <v>685</v>
      </c>
      <c r="M149" s="6"/>
      <c r="N149" s="6"/>
      <c r="O149" s="6" t="s">
        <v>163</v>
      </c>
      <c r="P149" s="6" t="s">
        <v>538</v>
      </c>
      <c r="Q149" s="8" t="s">
        <v>687</v>
      </c>
    </row>
    <row r="150" customFormat="false" ht="22.35" hidden="false" customHeight="false" outlineLevel="0" collapsed="false">
      <c r="A150" s="6" t="s">
        <v>896</v>
      </c>
      <c r="B150" s="6" t="s">
        <v>897</v>
      </c>
      <c r="C150" s="6" t="s">
        <v>96</v>
      </c>
      <c r="D150" s="6" t="s">
        <v>750</v>
      </c>
      <c r="E150" s="6" t="s">
        <v>113</v>
      </c>
      <c r="F150" s="6" t="s">
        <v>881</v>
      </c>
      <c r="G150" s="6" t="s">
        <v>881</v>
      </c>
      <c r="H150" s="6"/>
      <c r="I150" s="6" t="s">
        <v>684</v>
      </c>
      <c r="J150" s="6"/>
      <c r="K150" s="6" t="s">
        <v>184</v>
      </c>
      <c r="L150" s="6" t="s">
        <v>685</v>
      </c>
      <c r="M150" s="6"/>
      <c r="N150" s="6"/>
      <c r="O150" s="6" t="s">
        <v>163</v>
      </c>
      <c r="P150" s="6" t="s">
        <v>546</v>
      </c>
      <c r="Q150" s="8" t="s">
        <v>687</v>
      </c>
    </row>
    <row r="151" customFormat="false" ht="22.35" hidden="false" customHeight="false" outlineLevel="0" collapsed="false">
      <c r="A151" s="6" t="s">
        <v>898</v>
      </c>
      <c r="B151" s="6" t="s">
        <v>899</v>
      </c>
      <c r="C151" s="6" t="s">
        <v>96</v>
      </c>
      <c r="D151" s="6" t="s">
        <v>750</v>
      </c>
      <c r="E151" s="6" t="s">
        <v>113</v>
      </c>
      <c r="F151" s="6" t="s">
        <v>156</v>
      </c>
      <c r="G151" s="6" t="s">
        <v>156</v>
      </c>
      <c r="H151" s="6"/>
      <c r="I151" s="6" t="s">
        <v>684</v>
      </c>
      <c r="J151" s="6"/>
      <c r="K151" s="6" t="s">
        <v>184</v>
      </c>
      <c r="L151" s="6" t="s">
        <v>685</v>
      </c>
      <c r="M151" s="6"/>
      <c r="N151" s="6"/>
      <c r="O151" s="6" t="s">
        <v>163</v>
      </c>
      <c r="P151" s="6" t="s">
        <v>559</v>
      </c>
      <c r="Q151" s="8" t="s">
        <v>687</v>
      </c>
    </row>
    <row r="152" customFormat="false" ht="22.35" hidden="false" customHeight="false" outlineLevel="0" collapsed="false">
      <c r="A152" s="6" t="s">
        <v>900</v>
      </c>
      <c r="B152" s="6" t="s">
        <v>901</v>
      </c>
      <c r="C152" s="6" t="s">
        <v>96</v>
      </c>
      <c r="D152" s="6" t="s">
        <v>750</v>
      </c>
      <c r="E152" s="6" t="s">
        <v>113</v>
      </c>
      <c r="F152" s="6" t="s">
        <v>243</v>
      </c>
      <c r="G152" s="6" t="s">
        <v>243</v>
      </c>
      <c r="H152" s="6"/>
      <c r="I152" s="6" t="s">
        <v>684</v>
      </c>
      <c r="J152" s="6"/>
      <c r="K152" s="6" t="s">
        <v>184</v>
      </c>
      <c r="L152" s="6" t="s">
        <v>685</v>
      </c>
      <c r="M152" s="6"/>
      <c r="N152" s="6"/>
      <c r="O152" s="6" t="s">
        <v>163</v>
      </c>
      <c r="P152" s="6" t="s">
        <v>564</v>
      </c>
      <c r="Q152" s="8" t="s">
        <v>687</v>
      </c>
    </row>
    <row r="153" customFormat="false" ht="22.35" hidden="false" customHeight="false" outlineLevel="0" collapsed="false">
      <c r="A153" s="6" t="s">
        <v>902</v>
      </c>
      <c r="B153" s="6" t="s">
        <v>903</v>
      </c>
      <c r="C153" s="6" t="s">
        <v>96</v>
      </c>
      <c r="D153" s="6" t="s">
        <v>750</v>
      </c>
      <c r="E153" s="6" t="s">
        <v>113</v>
      </c>
      <c r="F153" s="6" t="s">
        <v>276</v>
      </c>
      <c r="G153" s="6" t="s">
        <v>276</v>
      </c>
      <c r="H153" s="6"/>
      <c r="I153" s="6" t="s">
        <v>684</v>
      </c>
      <c r="J153" s="6"/>
      <c r="K153" s="6" t="s">
        <v>184</v>
      </c>
      <c r="L153" s="6" t="s">
        <v>685</v>
      </c>
      <c r="M153" s="6"/>
      <c r="N153" s="6"/>
      <c r="O153" s="6" t="s">
        <v>163</v>
      </c>
      <c r="P153" s="6" t="s">
        <v>571</v>
      </c>
      <c r="Q153" s="8" t="s">
        <v>687</v>
      </c>
    </row>
    <row r="154" customFormat="false" ht="22.35" hidden="false" customHeight="false" outlineLevel="0" collapsed="false">
      <c r="A154" s="6" t="s">
        <v>904</v>
      </c>
      <c r="B154" s="6" t="s">
        <v>905</v>
      </c>
      <c r="C154" s="6" t="s">
        <v>96</v>
      </c>
      <c r="D154" s="6" t="s">
        <v>97</v>
      </c>
      <c r="E154" s="6" t="s">
        <v>113</v>
      </c>
      <c r="F154" s="6" t="s">
        <v>99</v>
      </c>
      <c r="G154" s="6" t="s">
        <v>99</v>
      </c>
      <c r="H154" s="6"/>
      <c r="I154" s="6" t="s">
        <v>684</v>
      </c>
      <c r="J154" s="6"/>
      <c r="K154" s="6" t="s">
        <v>184</v>
      </c>
      <c r="L154" s="6" t="s">
        <v>685</v>
      </c>
      <c r="M154" s="6"/>
      <c r="N154" s="6"/>
      <c r="O154" s="6" t="s">
        <v>108</v>
      </c>
      <c r="P154" s="6" t="s">
        <v>575</v>
      </c>
      <c r="Q154" s="8" t="s">
        <v>687</v>
      </c>
    </row>
    <row r="155" customFormat="false" ht="22.35" hidden="false" customHeight="false" outlineLevel="0" collapsed="false">
      <c r="A155" s="6" t="s">
        <v>906</v>
      </c>
      <c r="B155" s="6" t="s">
        <v>907</v>
      </c>
      <c r="C155" s="6" t="s">
        <v>96</v>
      </c>
      <c r="D155" s="6" t="s">
        <v>750</v>
      </c>
      <c r="E155" s="6" t="s">
        <v>113</v>
      </c>
      <c r="F155" s="6" t="s">
        <v>156</v>
      </c>
      <c r="G155" s="6" t="s">
        <v>156</v>
      </c>
      <c r="H155" s="6"/>
      <c r="I155" s="6" t="s">
        <v>684</v>
      </c>
      <c r="J155" s="6"/>
      <c r="K155" s="6" t="s">
        <v>184</v>
      </c>
      <c r="L155" s="6" t="s">
        <v>685</v>
      </c>
      <c r="M155" s="6"/>
      <c r="N155" s="6"/>
      <c r="O155" s="6" t="s">
        <v>163</v>
      </c>
      <c r="P155" s="6" t="s">
        <v>586</v>
      </c>
      <c r="Q155" s="8" t="s">
        <v>687</v>
      </c>
    </row>
    <row r="156" customFormat="false" ht="22.35" hidden="false" customHeight="false" outlineLevel="0" collapsed="false">
      <c r="A156" s="6" t="s">
        <v>908</v>
      </c>
      <c r="B156" s="6" t="s">
        <v>909</v>
      </c>
      <c r="C156" s="6" t="s">
        <v>96</v>
      </c>
      <c r="D156" s="6" t="s">
        <v>444</v>
      </c>
      <c r="E156" s="6" t="s">
        <v>113</v>
      </c>
      <c r="F156" s="6" t="s">
        <v>393</v>
      </c>
      <c r="G156" s="6" t="s">
        <v>393</v>
      </c>
      <c r="H156" s="6"/>
      <c r="I156" s="6" t="s">
        <v>684</v>
      </c>
      <c r="J156" s="6"/>
      <c r="K156" s="6" t="s">
        <v>184</v>
      </c>
      <c r="L156" s="6" t="s">
        <v>685</v>
      </c>
      <c r="M156" s="6"/>
      <c r="N156" s="6"/>
      <c r="O156" s="6" t="s">
        <v>451</v>
      </c>
      <c r="P156" s="6" t="s">
        <v>595</v>
      </c>
      <c r="Q156" s="8" t="s">
        <v>687</v>
      </c>
    </row>
    <row r="157" customFormat="false" ht="22.35" hidden="false" customHeight="false" outlineLevel="0" collapsed="false">
      <c r="A157" s="6" t="s">
        <v>910</v>
      </c>
      <c r="B157" s="6" t="s">
        <v>911</v>
      </c>
      <c r="C157" s="6" t="s">
        <v>96</v>
      </c>
      <c r="D157" s="6" t="s">
        <v>856</v>
      </c>
      <c r="E157" s="6" t="s">
        <v>113</v>
      </c>
      <c r="F157" s="6" t="s">
        <v>551</v>
      </c>
      <c r="G157" s="6" t="s">
        <v>551</v>
      </c>
      <c r="H157" s="6"/>
      <c r="I157" s="6" t="s">
        <v>684</v>
      </c>
      <c r="J157" s="6"/>
      <c r="K157" s="6" t="s">
        <v>184</v>
      </c>
      <c r="L157" s="6" t="s">
        <v>685</v>
      </c>
      <c r="M157" s="6"/>
      <c r="N157" s="6"/>
      <c r="O157" s="6" t="s">
        <v>558</v>
      </c>
      <c r="P157" s="6" t="s">
        <v>603</v>
      </c>
      <c r="Q157" s="8" t="s">
        <v>687</v>
      </c>
    </row>
    <row r="158" customFormat="false" ht="22.35" hidden="false" customHeight="false" outlineLevel="0" collapsed="false">
      <c r="A158" s="6" t="s">
        <v>912</v>
      </c>
      <c r="B158" s="6" t="s">
        <v>913</v>
      </c>
      <c r="C158" s="6" t="s">
        <v>96</v>
      </c>
      <c r="D158" s="6" t="s">
        <v>750</v>
      </c>
      <c r="E158" s="6" t="s">
        <v>113</v>
      </c>
      <c r="F158" s="6" t="s">
        <v>156</v>
      </c>
      <c r="G158" s="6" t="s">
        <v>156</v>
      </c>
      <c r="H158" s="6"/>
      <c r="I158" s="6" t="s">
        <v>684</v>
      </c>
      <c r="J158" s="6"/>
      <c r="K158" s="6" t="s">
        <v>184</v>
      </c>
      <c r="L158" s="6" t="s">
        <v>685</v>
      </c>
      <c r="M158" s="6"/>
      <c r="N158" s="6"/>
      <c r="O158" s="6" t="s">
        <v>163</v>
      </c>
      <c r="P158" s="6" t="s">
        <v>613</v>
      </c>
      <c r="Q158" s="8" t="s">
        <v>687</v>
      </c>
    </row>
    <row r="159" customFormat="false" ht="22.35" hidden="false" customHeight="false" outlineLevel="0" collapsed="false">
      <c r="A159" s="6" t="s">
        <v>914</v>
      </c>
      <c r="B159" s="6" t="s">
        <v>915</v>
      </c>
      <c r="C159" s="6" t="s">
        <v>96</v>
      </c>
      <c r="D159" s="6" t="s">
        <v>750</v>
      </c>
      <c r="E159" s="6" t="s">
        <v>113</v>
      </c>
      <c r="F159" s="6" t="s">
        <v>156</v>
      </c>
      <c r="G159" s="6" t="s">
        <v>156</v>
      </c>
      <c r="H159" s="6"/>
      <c r="I159" s="6" t="s">
        <v>684</v>
      </c>
      <c r="J159" s="6"/>
      <c r="K159" s="6" t="s">
        <v>184</v>
      </c>
      <c r="L159" s="6" t="s">
        <v>685</v>
      </c>
      <c r="M159" s="6"/>
      <c r="N159" s="6"/>
      <c r="O159" s="6" t="s">
        <v>163</v>
      </c>
      <c r="P159" s="6" t="s">
        <v>622</v>
      </c>
      <c r="Q159" s="8" t="s">
        <v>687</v>
      </c>
    </row>
    <row r="160" customFormat="false" ht="22.35" hidden="false" customHeight="false" outlineLevel="0" collapsed="false">
      <c r="A160" s="6" t="s">
        <v>916</v>
      </c>
      <c r="B160" s="6" t="s">
        <v>917</v>
      </c>
      <c r="C160" s="6" t="s">
        <v>96</v>
      </c>
      <c r="D160" s="6" t="s">
        <v>801</v>
      </c>
      <c r="E160" s="6" t="s">
        <v>113</v>
      </c>
      <c r="F160" s="6" t="s">
        <v>156</v>
      </c>
      <c r="G160" s="6" t="s">
        <v>156</v>
      </c>
      <c r="H160" s="6"/>
      <c r="I160" s="6" t="s">
        <v>684</v>
      </c>
      <c r="J160" s="6"/>
      <c r="K160" s="6" t="s">
        <v>184</v>
      </c>
      <c r="L160" s="6" t="s">
        <v>685</v>
      </c>
      <c r="M160" s="6"/>
      <c r="N160" s="6"/>
      <c r="O160" s="6" t="s">
        <v>368</v>
      </c>
      <c r="P160" s="6" t="s">
        <v>631</v>
      </c>
      <c r="Q160" s="8" t="s">
        <v>687</v>
      </c>
    </row>
    <row r="161" customFormat="false" ht="22.35" hidden="false" customHeight="false" outlineLevel="0" collapsed="false">
      <c r="A161" s="6" t="s">
        <v>918</v>
      </c>
      <c r="B161" s="6" t="s">
        <v>919</v>
      </c>
      <c r="C161" s="6" t="s">
        <v>96</v>
      </c>
      <c r="D161" s="6" t="s">
        <v>97</v>
      </c>
      <c r="E161" s="6" t="s">
        <v>113</v>
      </c>
      <c r="F161" s="6" t="s">
        <v>99</v>
      </c>
      <c r="G161" s="6" t="s">
        <v>99</v>
      </c>
      <c r="H161" s="6"/>
      <c r="I161" s="6" t="s">
        <v>684</v>
      </c>
      <c r="J161" s="6"/>
      <c r="K161" s="6" t="s">
        <v>184</v>
      </c>
      <c r="L161" s="6" t="s">
        <v>685</v>
      </c>
      <c r="M161" s="6"/>
      <c r="N161" s="6"/>
      <c r="O161" s="6" t="s">
        <v>108</v>
      </c>
      <c r="P161" s="6" t="s">
        <v>641</v>
      </c>
      <c r="Q161" s="8" t="s">
        <v>687</v>
      </c>
    </row>
    <row r="162" customFormat="false" ht="22.35" hidden="false" customHeight="false" outlineLevel="0" collapsed="false">
      <c r="A162" s="6" t="s">
        <v>920</v>
      </c>
      <c r="B162" s="6" t="s">
        <v>921</v>
      </c>
      <c r="C162" s="6" t="s">
        <v>96</v>
      </c>
      <c r="D162" s="6" t="s">
        <v>97</v>
      </c>
      <c r="E162" s="6" t="s">
        <v>113</v>
      </c>
      <c r="F162" s="6" t="s">
        <v>99</v>
      </c>
      <c r="G162" s="6" t="s">
        <v>99</v>
      </c>
      <c r="H162" s="6"/>
      <c r="I162" s="6" t="s">
        <v>684</v>
      </c>
      <c r="J162" s="6"/>
      <c r="K162" s="6" t="s">
        <v>184</v>
      </c>
      <c r="L162" s="6" t="s">
        <v>685</v>
      </c>
      <c r="M162" s="6"/>
      <c r="N162" s="6"/>
      <c r="O162" s="6" t="s">
        <v>108</v>
      </c>
      <c r="P162" s="6" t="s">
        <v>648</v>
      </c>
      <c r="Q162" s="8" t="s">
        <v>687</v>
      </c>
    </row>
    <row r="163" customFormat="false" ht="22.35" hidden="false" customHeight="false" outlineLevel="0" collapsed="false">
      <c r="A163" s="6" t="s">
        <v>922</v>
      </c>
      <c r="B163" s="6" t="s">
        <v>923</v>
      </c>
      <c r="C163" s="6" t="s">
        <v>96</v>
      </c>
      <c r="D163" s="6" t="s">
        <v>690</v>
      </c>
      <c r="E163" s="6" t="s">
        <v>113</v>
      </c>
      <c r="F163" s="6" t="s">
        <v>691</v>
      </c>
      <c r="G163" s="6" t="s">
        <v>691</v>
      </c>
      <c r="H163" s="6"/>
      <c r="I163" s="6" t="s">
        <v>684</v>
      </c>
      <c r="J163" s="6"/>
      <c r="K163" s="6" t="s">
        <v>184</v>
      </c>
      <c r="L163" s="6" t="s">
        <v>685</v>
      </c>
      <c r="M163" s="6"/>
      <c r="N163" s="6"/>
      <c r="O163" s="6" t="s">
        <v>310</v>
      </c>
      <c r="P163" s="6" t="s">
        <v>654</v>
      </c>
      <c r="Q163" s="8" t="s">
        <v>687</v>
      </c>
    </row>
    <row r="164" customFormat="false" ht="22.35" hidden="false" customHeight="false" outlineLevel="0" collapsed="false">
      <c r="A164" s="6" t="s">
        <v>924</v>
      </c>
      <c r="B164" s="6" t="s">
        <v>925</v>
      </c>
      <c r="C164" s="6" t="s">
        <v>96</v>
      </c>
      <c r="D164" s="6" t="s">
        <v>690</v>
      </c>
      <c r="E164" s="6" t="s">
        <v>113</v>
      </c>
      <c r="F164" s="6" t="s">
        <v>659</v>
      </c>
      <c r="G164" s="6" t="s">
        <v>659</v>
      </c>
      <c r="H164" s="6"/>
      <c r="I164" s="6" t="s">
        <v>684</v>
      </c>
      <c r="J164" s="6"/>
      <c r="K164" s="6" t="s">
        <v>184</v>
      </c>
      <c r="L164" s="6" t="s">
        <v>685</v>
      </c>
      <c r="M164" s="6"/>
      <c r="N164" s="6"/>
      <c r="O164" s="6" t="s">
        <v>310</v>
      </c>
      <c r="P164" s="6" t="s">
        <v>663</v>
      </c>
      <c r="Q164" s="8" t="s">
        <v>687</v>
      </c>
    </row>
    <row r="165" customFormat="false" ht="22.35" hidden="false" customHeight="false" outlineLevel="0" collapsed="false">
      <c r="A165" s="6" t="s">
        <v>926</v>
      </c>
      <c r="B165" s="6" t="s">
        <v>927</v>
      </c>
      <c r="C165" s="6" t="s">
        <v>96</v>
      </c>
      <c r="D165" s="6" t="s">
        <v>97</v>
      </c>
      <c r="E165" s="6" t="s">
        <v>113</v>
      </c>
      <c r="F165" s="6" t="s">
        <v>928</v>
      </c>
      <c r="G165" s="6" t="s">
        <v>928</v>
      </c>
      <c r="H165" s="6"/>
      <c r="I165" s="6" t="s">
        <v>684</v>
      </c>
      <c r="J165" s="6"/>
      <c r="K165" s="6" t="s">
        <v>184</v>
      </c>
      <c r="L165" s="6" t="s">
        <v>685</v>
      </c>
      <c r="M165" s="6"/>
      <c r="N165" s="6"/>
      <c r="O165" s="6" t="s">
        <v>108</v>
      </c>
      <c r="P165" s="6" t="s">
        <v>671</v>
      </c>
      <c r="Q165" s="8" t="s">
        <v>687</v>
      </c>
    </row>
    <row r="166" customFormat="false" ht="22.35" hidden="false" customHeight="false" outlineLevel="0" collapsed="false">
      <c r="A166" s="6" t="s">
        <v>929</v>
      </c>
      <c r="B166" s="6" t="s">
        <v>930</v>
      </c>
      <c r="C166" s="6" t="s">
        <v>96</v>
      </c>
      <c r="D166" s="6" t="s">
        <v>97</v>
      </c>
      <c r="E166" s="6" t="s">
        <v>113</v>
      </c>
      <c r="F166" s="6" t="s">
        <v>99</v>
      </c>
      <c r="G166" s="6" t="s">
        <v>99</v>
      </c>
      <c r="H166" s="6"/>
      <c r="I166" s="6" t="s">
        <v>684</v>
      </c>
      <c r="J166" s="6"/>
      <c r="K166" s="6" t="s">
        <v>184</v>
      </c>
      <c r="L166" s="6" t="s">
        <v>685</v>
      </c>
      <c r="M166" s="6"/>
      <c r="N166" s="6"/>
      <c r="O166" s="6" t="s">
        <v>108</v>
      </c>
      <c r="P166" s="6" t="s">
        <v>681</v>
      </c>
      <c r="Q166" s="8" t="s">
        <v>687</v>
      </c>
    </row>
    <row r="167" customFormat="false" ht="22.35" hidden="false" customHeight="false" outlineLevel="0" collapsed="false">
      <c r="A167" s="6" t="s">
        <v>931</v>
      </c>
      <c r="B167" s="6" t="s">
        <v>932</v>
      </c>
      <c r="C167" s="6" t="s">
        <v>96</v>
      </c>
      <c r="D167" s="6" t="s">
        <v>750</v>
      </c>
      <c r="E167" s="6" t="s">
        <v>113</v>
      </c>
      <c r="F167" s="6" t="s">
        <v>156</v>
      </c>
      <c r="G167" s="6" t="s">
        <v>156</v>
      </c>
      <c r="H167" s="6"/>
      <c r="I167" s="6" t="s">
        <v>684</v>
      </c>
      <c r="J167" s="6"/>
      <c r="K167" s="6" t="s">
        <v>184</v>
      </c>
      <c r="L167" s="6" t="s">
        <v>685</v>
      </c>
      <c r="M167" s="6"/>
      <c r="N167" s="6"/>
      <c r="O167" s="6" t="s">
        <v>163</v>
      </c>
      <c r="P167" s="6" t="s">
        <v>933</v>
      </c>
      <c r="Q167" s="8" t="s">
        <v>687</v>
      </c>
    </row>
    <row r="168" customFormat="false" ht="22.35" hidden="false" customHeight="false" outlineLevel="0" collapsed="false">
      <c r="A168" s="6" t="s">
        <v>934</v>
      </c>
      <c r="B168" s="6" t="s">
        <v>935</v>
      </c>
      <c r="C168" s="6" t="s">
        <v>96</v>
      </c>
      <c r="D168" s="6" t="s">
        <v>750</v>
      </c>
      <c r="E168" s="6" t="s">
        <v>113</v>
      </c>
      <c r="F168" s="6" t="s">
        <v>243</v>
      </c>
      <c r="G168" s="6" t="s">
        <v>243</v>
      </c>
      <c r="H168" s="6"/>
      <c r="I168" s="6" t="s">
        <v>684</v>
      </c>
      <c r="J168" s="6"/>
      <c r="K168" s="6" t="s">
        <v>184</v>
      </c>
      <c r="L168" s="6" t="s">
        <v>685</v>
      </c>
      <c r="M168" s="6"/>
      <c r="N168" s="6"/>
      <c r="O168" s="6" t="s">
        <v>163</v>
      </c>
      <c r="P168" s="6" t="s">
        <v>936</v>
      </c>
      <c r="Q168" s="8" t="s">
        <v>687</v>
      </c>
    </row>
    <row r="169" customFormat="false" ht="22.35" hidden="false" customHeight="false" outlineLevel="0" collapsed="false">
      <c r="A169" s="6" t="s">
        <v>937</v>
      </c>
      <c r="B169" s="6" t="s">
        <v>938</v>
      </c>
      <c r="C169" s="6" t="s">
        <v>411</v>
      </c>
      <c r="D169" s="6" t="s">
        <v>444</v>
      </c>
      <c r="E169" s="6" t="s">
        <v>413</v>
      </c>
      <c r="F169" s="6" t="s">
        <v>445</v>
      </c>
      <c r="G169" s="6" t="s">
        <v>445</v>
      </c>
      <c r="H169" s="6"/>
      <c r="I169" s="6" t="s">
        <v>684</v>
      </c>
      <c r="J169" s="6"/>
      <c r="K169" s="6" t="s">
        <v>184</v>
      </c>
      <c r="L169" s="6" t="s">
        <v>685</v>
      </c>
      <c r="M169" s="6"/>
      <c r="N169" s="6"/>
      <c r="O169" s="6" t="s">
        <v>451</v>
      </c>
      <c r="P169" s="6" t="s">
        <v>939</v>
      </c>
      <c r="Q169" s="8" t="s">
        <v>687</v>
      </c>
    </row>
    <row r="170" customFormat="false" ht="22.35" hidden="false" customHeight="false" outlineLevel="0" collapsed="false">
      <c r="A170" s="6" t="s">
        <v>940</v>
      </c>
      <c r="B170" s="6" t="s">
        <v>941</v>
      </c>
      <c r="C170" s="6" t="s">
        <v>411</v>
      </c>
      <c r="D170" s="6" t="s">
        <v>695</v>
      </c>
      <c r="E170" s="6" t="s">
        <v>413</v>
      </c>
      <c r="F170" s="6" t="s">
        <v>463</v>
      </c>
      <c r="G170" s="6" t="s">
        <v>463</v>
      </c>
      <c r="H170" s="6"/>
      <c r="I170" s="6" t="s">
        <v>684</v>
      </c>
      <c r="J170" s="6"/>
      <c r="K170" s="6" t="s">
        <v>184</v>
      </c>
      <c r="L170" s="6" t="s">
        <v>685</v>
      </c>
      <c r="M170" s="6"/>
      <c r="N170" s="6"/>
      <c r="O170" s="6" t="s">
        <v>420</v>
      </c>
      <c r="P170" s="6" t="s">
        <v>942</v>
      </c>
      <c r="Q170" s="8" t="s">
        <v>687</v>
      </c>
    </row>
    <row r="171" customFormat="false" ht="22.35" hidden="false" customHeight="false" outlineLevel="0" collapsed="false">
      <c r="A171" s="6" t="s">
        <v>943</v>
      </c>
      <c r="B171" s="6" t="s">
        <v>944</v>
      </c>
      <c r="C171" s="6" t="s">
        <v>411</v>
      </c>
      <c r="D171" s="6" t="s">
        <v>444</v>
      </c>
      <c r="E171" s="6" t="s">
        <v>413</v>
      </c>
      <c r="F171" s="6" t="s">
        <v>445</v>
      </c>
      <c r="G171" s="6" t="s">
        <v>445</v>
      </c>
      <c r="H171" s="6"/>
      <c r="I171" s="6" t="s">
        <v>684</v>
      </c>
      <c r="J171" s="6"/>
      <c r="K171" s="6" t="s">
        <v>184</v>
      </c>
      <c r="L171" s="6" t="s">
        <v>685</v>
      </c>
      <c r="M171" s="6"/>
      <c r="N171" s="6"/>
      <c r="O171" s="6" t="s">
        <v>451</v>
      </c>
      <c r="P171" s="6" t="s">
        <v>945</v>
      </c>
      <c r="Q171" s="8" t="s">
        <v>687</v>
      </c>
    </row>
    <row r="172" customFormat="false" ht="22.35" hidden="false" customHeight="false" outlineLevel="0" collapsed="false">
      <c r="A172" s="6" t="s">
        <v>946</v>
      </c>
      <c r="B172" s="6" t="s">
        <v>947</v>
      </c>
      <c r="C172" s="6" t="s">
        <v>411</v>
      </c>
      <c r="D172" s="6" t="s">
        <v>695</v>
      </c>
      <c r="E172" s="6" t="s">
        <v>413</v>
      </c>
      <c r="F172" s="6" t="s">
        <v>463</v>
      </c>
      <c r="G172" s="6" t="s">
        <v>463</v>
      </c>
      <c r="H172" s="6"/>
      <c r="I172" s="6" t="s">
        <v>684</v>
      </c>
      <c r="J172" s="6"/>
      <c r="K172" s="6" t="s">
        <v>184</v>
      </c>
      <c r="L172" s="6" t="s">
        <v>685</v>
      </c>
      <c r="M172" s="6"/>
      <c r="N172" s="6"/>
      <c r="O172" s="6" t="s">
        <v>420</v>
      </c>
      <c r="P172" s="6" t="s">
        <v>948</v>
      </c>
      <c r="Q172" s="8" t="s">
        <v>687</v>
      </c>
    </row>
    <row r="173" customFormat="false" ht="22.35" hidden="false" customHeight="false" outlineLevel="0" collapsed="false">
      <c r="A173" s="6" t="s">
        <v>949</v>
      </c>
      <c r="B173" s="6" t="s">
        <v>950</v>
      </c>
      <c r="C173" s="6" t="s">
        <v>411</v>
      </c>
      <c r="D173" s="6" t="s">
        <v>695</v>
      </c>
      <c r="E173" s="6" t="s">
        <v>413</v>
      </c>
      <c r="F173" s="6" t="s">
        <v>463</v>
      </c>
      <c r="G173" s="6" t="s">
        <v>463</v>
      </c>
      <c r="H173" s="6"/>
      <c r="I173" s="6" t="s">
        <v>684</v>
      </c>
      <c r="J173" s="6"/>
      <c r="K173" s="6" t="s">
        <v>184</v>
      </c>
      <c r="L173" s="6" t="s">
        <v>685</v>
      </c>
      <c r="M173" s="6"/>
      <c r="N173" s="6"/>
      <c r="O173" s="6" t="s">
        <v>420</v>
      </c>
      <c r="P173" s="6" t="s">
        <v>951</v>
      </c>
      <c r="Q173" s="8" t="s">
        <v>687</v>
      </c>
    </row>
    <row r="174" customFormat="false" ht="22.35" hidden="false" customHeight="false" outlineLevel="0" collapsed="false">
      <c r="A174" s="6" t="s">
        <v>952</v>
      </c>
      <c r="B174" s="6" t="s">
        <v>953</v>
      </c>
      <c r="C174" s="6" t="s">
        <v>411</v>
      </c>
      <c r="D174" s="6" t="s">
        <v>801</v>
      </c>
      <c r="E174" s="6" t="s">
        <v>413</v>
      </c>
      <c r="F174" s="6" t="s">
        <v>156</v>
      </c>
      <c r="G174" s="6" t="s">
        <v>156</v>
      </c>
      <c r="H174" s="6"/>
      <c r="I174" s="6" t="s">
        <v>684</v>
      </c>
      <c r="J174" s="6"/>
      <c r="K174" s="6" t="s">
        <v>184</v>
      </c>
      <c r="L174" s="6" t="s">
        <v>685</v>
      </c>
      <c r="M174" s="6"/>
      <c r="N174" s="6"/>
      <c r="O174" s="6" t="s">
        <v>368</v>
      </c>
      <c r="P174" s="6" t="s">
        <v>954</v>
      </c>
      <c r="Q174" s="8" t="s">
        <v>687</v>
      </c>
    </row>
    <row r="175" customFormat="false" ht="22.35" hidden="false" customHeight="false" outlineLevel="0" collapsed="false">
      <c r="A175" s="6" t="s">
        <v>955</v>
      </c>
      <c r="B175" s="6" t="s">
        <v>956</v>
      </c>
      <c r="C175" s="6" t="s">
        <v>411</v>
      </c>
      <c r="D175" s="6" t="s">
        <v>695</v>
      </c>
      <c r="E175" s="6" t="s">
        <v>413</v>
      </c>
      <c r="F175" s="6" t="s">
        <v>463</v>
      </c>
      <c r="G175" s="6" t="s">
        <v>463</v>
      </c>
      <c r="H175" s="6"/>
      <c r="I175" s="6" t="s">
        <v>684</v>
      </c>
      <c r="J175" s="6"/>
      <c r="K175" s="6" t="s">
        <v>184</v>
      </c>
      <c r="L175" s="6" t="s">
        <v>685</v>
      </c>
      <c r="M175" s="6"/>
      <c r="N175" s="6"/>
      <c r="O175" s="6" t="s">
        <v>420</v>
      </c>
      <c r="P175" s="6" t="s">
        <v>957</v>
      </c>
      <c r="Q175" s="8" t="s">
        <v>687</v>
      </c>
    </row>
    <row r="176" customFormat="false" ht="22.35" hidden="false" customHeight="false" outlineLevel="0" collapsed="false">
      <c r="A176" s="6" t="s">
        <v>958</v>
      </c>
      <c r="B176" s="6" t="s">
        <v>959</v>
      </c>
      <c r="C176" s="6" t="s">
        <v>411</v>
      </c>
      <c r="D176" s="6" t="s">
        <v>444</v>
      </c>
      <c r="E176" s="6" t="s">
        <v>413</v>
      </c>
      <c r="F176" s="6" t="s">
        <v>393</v>
      </c>
      <c r="G176" s="6" t="s">
        <v>393</v>
      </c>
      <c r="H176" s="6"/>
      <c r="I176" s="6" t="s">
        <v>684</v>
      </c>
      <c r="J176" s="6"/>
      <c r="K176" s="6" t="s">
        <v>184</v>
      </c>
      <c r="L176" s="6" t="s">
        <v>685</v>
      </c>
      <c r="M176" s="6"/>
      <c r="N176" s="6"/>
      <c r="O176" s="6" t="s">
        <v>451</v>
      </c>
      <c r="P176" s="6" t="s">
        <v>960</v>
      </c>
      <c r="Q176" s="8" t="s">
        <v>687</v>
      </c>
    </row>
    <row r="177" customFormat="false" ht="22.35" hidden="false" customHeight="false" outlineLevel="0" collapsed="false">
      <c r="A177" s="6" t="s">
        <v>961</v>
      </c>
      <c r="B177" s="6" t="s">
        <v>962</v>
      </c>
      <c r="C177" s="6" t="s">
        <v>411</v>
      </c>
      <c r="D177" s="6" t="s">
        <v>444</v>
      </c>
      <c r="E177" s="6" t="s">
        <v>413</v>
      </c>
      <c r="F177" s="6" t="s">
        <v>393</v>
      </c>
      <c r="G177" s="6" t="s">
        <v>393</v>
      </c>
      <c r="H177" s="6"/>
      <c r="I177" s="6" t="s">
        <v>684</v>
      </c>
      <c r="J177" s="6"/>
      <c r="K177" s="6" t="s">
        <v>184</v>
      </c>
      <c r="L177" s="6" t="s">
        <v>685</v>
      </c>
      <c r="M177" s="6"/>
      <c r="N177" s="6"/>
      <c r="O177" s="6" t="s">
        <v>451</v>
      </c>
      <c r="P177" s="6" t="s">
        <v>963</v>
      </c>
      <c r="Q177" s="8" t="s">
        <v>687</v>
      </c>
    </row>
    <row r="178" customFormat="false" ht="22.35" hidden="false" customHeight="false" outlineLevel="0" collapsed="false">
      <c r="A178" s="6" t="s">
        <v>964</v>
      </c>
      <c r="B178" s="6" t="s">
        <v>965</v>
      </c>
      <c r="C178" s="6" t="s">
        <v>411</v>
      </c>
      <c r="D178" s="6" t="s">
        <v>695</v>
      </c>
      <c r="E178" s="6" t="s">
        <v>413</v>
      </c>
      <c r="F178" s="6" t="s">
        <v>414</v>
      </c>
      <c r="G178" s="6" t="s">
        <v>414</v>
      </c>
      <c r="H178" s="6"/>
      <c r="I178" s="6" t="s">
        <v>684</v>
      </c>
      <c r="J178" s="6"/>
      <c r="K178" s="6" t="s">
        <v>184</v>
      </c>
      <c r="L178" s="6" t="s">
        <v>685</v>
      </c>
      <c r="M178" s="6"/>
      <c r="N178" s="6"/>
      <c r="O178" s="6" t="s">
        <v>420</v>
      </c>
      <c r="P178" s="6" t="s">
        <v>966</v>
      </c>
      <c r="Q178" s="8" t="s">
        <v>687</v>
      </c>
    </row>
    <row r="179" customFormat="false" ht="22.35" hidden="false" customHeight="false" outlineLevel="0" collapsed="false">
      <c r="A179" s="6" t="s">
        <v>967</v>
      </c>
      <c r="B179" s="6" t="s">
        <v>968</v>
      </c>
      <c r="C179" s="6" t="s">
        <v>411</v>
      </c>
      <c r="D179" s="6" t="s">
        <v>690</v>
      </c>
      <c r="E179" s="6" t="s">
        <v>413</v>
      </c>
      <c r="F179" s="6" t="s">
        <v>659</v>
      </c>
      <c r="G179" s="6" t="s">
        <v>659</v>
      </c>
      <c r="H179" s="6"/>
      <c r="I179" s="6" t="s">
        <v>684</v>
      </c>
      <c r="J179" s="6"/>
      <c r="K179" s="6" t="s">
        <v>184</v>
      </c>
      <c r="L179" s="6" t="s">
        <v>685</v>
      </c>
      <c r="M179" s="6"/>
      <c r="N179" s="6"/>
      <c r="O179" s="6" t="s">
        <v>310</v>
      </c>
      <c r="P179" s="6" t="s">
        <v>969</v>
      </c>
      <c r="Q179" s="8" t="s">
        <v>687</v>
      </c>
    </row>
    <row r="180" customFormat="false" ht="22.35" hidden="false" customHeight="false" outlineLevel="0" collapsed="false">
      <c r="A180" s="6" t="s">
        <v>970</v>
      </c>
      <c r="B180" s="6" t="s">
        <v>971</v>
      </c>
      <c r="C180" s="6" t="s">
        <v>411</v>
      </c>
      <c r="D180" s="6" t="s">
        <v>690</v>
      </c>
      <c r="E180" s="6" t="s">
        <v>413</v>
      </c>
      <c r="F180" s="6" t="s">
        <v>659</v>
      </c>
      <c r="G180" s="6" t="s">
        <v>659</v>
      </c>
      <c r="H180" s="6"/>
      <c r="I180" s="6" t="s">
        <v>684</v>
      </c>
      <c r="J180" s="6"/>
      <c r="K180" s="6" t="s">
        <v>184</v>
      </c>
      <c r="L180" s="6" t="s">
        <v>685</v>
      </c>
      <c r="M180" s="6"/>
      <c r="N180" s="6"/>
      <c r="O180" s="6" t="s">
        <v>310</v>
      </c>
      <c r="P180" s="6" t="s">
        <v>972</v>
      </c>
      <c r="Q180" s="8" t="s">
        <v>687</v>
      </c>
    </row>
    <row r="181" customFormat="false" ht="22.35" hidden="false" customHeight="false" outlineLevel="0" collapsed="false">
      <c r="A181" s="6" t="s">
        <v>973</v>
      </c>
      <c r="B181" s="6" t="s">
        <v>974</v>
      </c>
      <c r="C181" s="6" t="s">
        <v>411</v>
      </c>
      <c r="D181" s="6" t="s">
        <v>444</v>
      </c>
      <c r="E181" s="6" t="s">
        <v>413</v>
      </c>
      <c r="F181" s="6" t="s">
        <v>445</v>
      </c>
      <c r="G181" s="6" t="s">
        <v>445</v>
      </c>
      <c r="H181" s="6"/>
      <c r="I181" s="6" t="s">
        <v>684</v>
      </c>
      <c r="J181" s="6"/>
      <c r="K181" s="6" t="s">
        <v>184</v>
      </c>
      <c r="L181" s="6" t="s">
        <v>685</v>
      </c>
      <c r="M181" s="6"/>
      <c r="N181" s="6"/>
      <c r="O181" s="6" t="s">
        <v>451</v>
      </c>
      <c r="P181" s="6" t="s">
        <v>975</v>
      </c>
      <c r="Q181" s="8" t="s">
        <v>687</v>
      </c>
    </row>
    <row r="182" customFormat="false" ht="22.35" hidden="false" customHeight="false" outlineLevel="0" collapsed="false">
      <c r="A182" s="6" t="s">
        <v>976</v>
      </c>
      <c r="B182" s="6" t="s">
        <v>977</v>
      </c>
      <c r="C182" s="6" t="s">
        <v>411</v>
      </c>
      <c r="D182" s="6" t="s">
        <v>750</v>
      </c>
      <c r="E182" s="6" t="s">
        <v>413</v>
      </c>
      <c r="F182" s="6" t="s">
        <v>881</v>
      </c>
      <c r="G182" s="6" t="s">
        <v>881</v>
      </c>
      <c r="H182" s="6"/>
      <c r="I182" s="6" t="s">
        <v>684</v>
      </c>
      <c r="J182" s="6"/>
      <c r="K182" s="6" t="s">
        <v>184</v>
      </c>
      <c r="L182" s="6" t="s">
        <v>685</v>
      </c>
      <c r="M182" s="6"/>
      <c r="N182" s="6"/>
      <c r="O182" s="6" t="s">
        <v>163</v>
      </c>
      <c r="P182" s="6" t="s">
        <v>978</v>
      </c>
      <c r="Q182" s="8" t="s">
        <v>687</v>
      </c>
    </row>
    <row r="183" customFormat="false" ht="22.35" hidden="false" customHeight="false" outlineLevel="0" collapsed="false">
      <c r="A183" s="6" t="s">
        <v>979</v>
      </c>
      <c r="B183" s="6" t="s">
        <v>980</v>
      </c>
      <c r="C183" s="6" t="s">
        <v>411</v>
      </c>
      <c r="D183" s="6" t="s">
        <v>97</v>
      </c>
      <c r="E183" s="6" t="s">
        <v>413</v>
      </c>
      <c r="F183" s="6" t="s">
        <v>99</v>
      </c>
      <c r="G183" s="6" t="s">
        <v>99</v>
      </c>
      <c r="H183" s="6"/>
      <c r="I183" s="6" t="s">
        <v>684</v>
      </c>
      <c r="J183" s="6"/>
      <c r="K183" s="6" t="s">
        <v>184</v>
      </c>
      <c r="L183" s="6" t="s">
        <v>685</v>
      </c>
      <c r="M183" s="6"/>
      <c r="N183" s="6"/>
      <c r="O183" s="6" t="s">
        <v>108</v>
      </c>
      <c r="P183" s="6" t="s">
        <v>981</v>
      </c>
      <c r="Q183" s="8" t="s">
        <v>687</v>
      </c>
    </row>
    <row r="184" customFormat="false" ht="22.35" hidden="false" customHeight="false" outlineLevel="0" collapsed="false">
      <c r="A184" s="6" t="s">
        <v>982</v>
      </c>
      <c r="B184" s="6" t="s">
        <v>983</v>
      </c>
      <c r="C184" s="6" t="s">
        <v>411</v>
      </c>
      <c r="D184" s="6" t="s">
        <v>690</v>
      </c>
      <c r="E184" s="6" t="s">
        <v>413</v>
      </c>
      <c r="F184" s="6" t="s">
        <v>659</v>
      </c>
      <c r="G184" s="6" t="s">
        <v>659</v>
      </c>
      <c r="H184" s="6"/>
      <c r="I184" s="6" t="s">
        <v>684</v>
      </c>
      <c r="J184" s="6"/>
      <c r="K184" s="6" t="s">
        <v>184</v>
      </c>
      <c r="L184" s="6" t="s">
        <v>685</v>
      </c>
      <c r="M184" s="6"/>
      <c r="N184" s="6"/>
      <c r="O184" s="6" t="s">
        <v>310</v>
      </c>
      <c r="P184" s="6" t="s">
        <v>984</v>
      </c>
      <c r="Q184" s="8" t="s">
        <v>687</v>
      </c>
    </row>
    <row r="185" customFormat="false" ht="22.35" hidden="false" customHeight="false" outlineLevel="0" collapsed="false">
      <c r="A185" s="6" t="s">
        <v>985</v>
      </c>
      <c r="B185" s="6" t="s">
        <v>986</v>
      </c>
      <c r="C185" s="6" t="s">
        <v>411</v>
      </c>
      <c r="D185" s="6" t="s">
        <v>97</v>
      </c>
      <c r="E185" s="6" t="s">
        <v>413</v>
      </c>
      <c r="F185" s="6" t="s">
        <v>99</v>
      </c>
      <c r="G185" s="6" t="s">
        <v>99</v>
      </c>
      <c r="H185" s="6"/>
      <c r="I185" s="6" t="s">
        <v>684</v>
      </c>
      <c r="J185" s="6"/>
      <c r="K185" s="6" t="s">
        <v>184</v>
      </c>
      <c r="L185" s="6" t="s">
        <v>685</v>
      </c>
      <c r="M185" s="6"/>
      <c r="N185" s="6"/>
      <c r="O185" s="6" t="s">
        <v>108</v>
      </c>
      <c r="P185" s="6" t="s">
        <v>987</v>
      </c>
      <c r="Q185" s="8" t="s">
        <v>687</v>
      </c>
    </row>
    <row r="186" customFormat="false" ht="22.35" hidden="false" customHeight="false" outlineLevel="0" collapsed="false">
      <c r="A186" s="6" t="s">
        <v>988</v>
      </c>
      <c r="B186" s="6" t="s">
        <v>989</v>
      </c>
      <c r="C186" s="6" t="s">
        <v>411</v>
      </c>
      <c r="D186" s="6" t="s">
        <v>97</v>
      </c>
      <c r="E186" s="6" t="s">
        <v>413</v>
      </c>
      <c r="F186" s="6" t="s">
        <v>99</v>
      </c>
      <c r="G186" s="6" t="s">
        <v>99</v>
      </c>
      <c r="H186" s="6"/>
      <c r="I186" s="6" t="s">
        <v>684</v>
      </c>
      <c r="J186" s="6"/>
      <c r="K186" s="6" t="s">
        <v>184</v>
      </c>
      <c r="L186" s="6" t="s">
        <v>685</v>
      </c>
      <c r="M186" s="6"/>
      <c r="N186" s="6"/>
      <c r="O186" s="6" t="s">
        <v>108</v>
      </c>
      <c r="P186" s="6" t="s">
        <v>990</v>
      </c>
      <c r="Q186" s="8" t="s">
        <v>687</v>
      </c>
    </row>
    <row r="187" customFormat="false" ht="22.35" hidden="false" customHeight="false" outlineLevel="0" collapsed="false">
      <c r="A187" s="6" t="s">
        <v>991</v>
      </c>
      <c r="B187" s="6" t="s">
        <v>992</v>
      </c>
      <c r="C187" s="6" t="s">
        <v>411</v>
      </c>
      <c r="D187" s="6" t="s">
        <v>690</v>
      </c>
      <c r="E187" s="6" t="s">
        <v>413</v>
      </c>
      <c r="F187" s="6" t="s">
        <v>659</v>
      </c>
      <c r="G187" s="6" t="s">
        <v>659</v>
      </c>
      <c r="H187" s="6"/>
      <c r="I187" s="6" t="s">
        <v>684</v>
      </c>
      <c r="J187" s="6"/>
      <c r="K187" s="6" t="s">
        <v>184</v>
      </c>
      <c r="L187" s="6" t="s">
        <v>685</v>
      </c>
      <c r="M187" s="6"/>
      <c r="N187" s="6"/>
      <c r="O187" s="6" t="s">
        <v>310</v>
      </c>
      <c r="P187" s="6" t="s">
        <v>993</v>
      </c>
      <c r="Q187" s="8" t="s">
        <v>687</v>
      </c>
    </row>
    <row r="188" customFormat="false" ht="22.35" hidden="false" customHeight="false" outlineLevel="0" collapsed="false">
      <c r="A188" s="6" t="s">
        <v>994</v>
      </c>
      <c r="B188" s="6" t="s">
        <v>995</v>
      </c>
      <c r="C188" s="6" t="s">
        <v>411</v>
      </c>
      <c r="D188" s="6" t="s">
        <v>690</v>
      </c>
      <c r="E188" s="6" t="s">
        <v>413</v>
      </c>
      <c r="F188" s="6" t="s">
        <v>659</v>
      </c>
      <c r="G188" s="6" t="s">
        <v>659</v>
      </c>
      <c r="H188" s="6"/>
      <c r="I188" s="6" t="s">
        <v>684</v>
      </c>
      <c r="J188" s="6"/>
      <c r="K188" s="6" t="s">
        <v>184</v>
      </c>
      <c r="L188" s="6" t="s">
        <v>685</v>
      </c>
      <c r="M188" s="6"/>
      <c r="N188" s="6"/>
      <c r="O188" s="6" t="s">
        <v>310</v>
      </c>
      <c r="P188" s="6" t="s">
        <v>996</v>
      </c>
      <c r="Q188" s="8" t="s">
        <v>687</v>
      </c>
    </row>
    <row r="189" customFormat="false" ht="22.35" hidden="false" customHeight="false" outlineLevel="0" collapsed="false">
      <c r="A189" s="6" t="s">
        <v>997</v>
      </c>
      <c r="B189" s="6" t="s">
        <v>998</v>
      </c>
      <c r="C189" s="6" t="s">
        <v>411</v>
      </c>
      <c r="D189" s="6" t="s">
        <v>444</v>
      </c>
      <c r="E189" s="6" t="s">
        <v>413</v>
      </c>
      <c r="F189" s="6" t="s">
        <v>445</v>
      </c>
      <c r="G189" s="6" t="s">
        <v>445</v>
      </c>
      <c r="H189" s="6"/>
      <c r="I189" s="6" t="s">
        <v>684</v>
      </c>
      <c r="J189" s="6"/>
      <c r="K189" s="6" t="s">
        <v>184</v>
      </c>
      <c r="L189" s="6" t="s">
        <v>685</v>
      </c>
      <c r="M189" s="6"/>
      <c r="N189" s="6"/>
      <c r="O189" s="6" t="s">
        <v>451</v>
      </c>
      <c r="P189" s="6" t="s">
        <v>999</v>
      </c>
      <c r="Q189" s="8" t="s">
        <v>687</v>
      </c>
    </row>
    <row r="190" customFormat="false" ht="22.35" hidden="false" customHeight="false" outlineLevel="0" collapsed="false">
      <c r="A190" s="6" t="s">
        <v>1000</v>
      </c>
      <c r="B190" s="6" t="s">
        <v>1001</v>
      </c>
      <c r="C190" s="6" t="s">
        <v>411</v>
      </c>
      <c r="D190" s="6" t="s">
        <v>690</v>
      </c>
      <c r="E190" s="6" t="s">
        <v>413</v>
      </c>
      <c r="F190" s="6" t="s">
        <v>659</v>
      </c>
      <c r="G190" s="6" t="s">
        <v>659</v>
      </c>
      <c r="H190" s="6"/>
      <c r="I190" s="6" t="s">
        <v>684</v>
      </c>
      <c r="J190" s="6"/>
      <c r="K190" s="6" t="s">
        <v>184</v>
      </c>
      <c r="L190" s="6" t="s">
        <v>685</v>
      </c>
      <c r="M190" s="6"/>
      <c r="N190" s="6"/>
      <c r="O190" s="6" t="s">
        <v>310</v>
      </c>
      <c r="P190" s="6" t="s">
        <v>1002</v>
      </c>
      <c r="Q190" s="8" t="s">
        <v>687</v>
      </c>
    </row>
    <row r="191" customFormat="false" ht="22.35" hidden="false" customHeight="false" outlineLevel="0" collapsed="false">
      <c r="A191" s="6" t="s">
        <v>1003</v>
      </c>
      <c r="B191" s="6" t="s">
        <v>1004</v>
      </c>
      <c r="C191" s="6" t="s">
        <v>411</v>
      </c>
      <c r="D191" s="6" t="s">
        <v>444</v>
      </c>
      <c r="E191" s="6" t="s">
        <v>413</v>
      </c>
      <c r="F191" s="6" t="s">
        <v>445</v>
      </c>
      <c r="G191" s="6" t="s">
        <v>445</v>
      </c>
      <c r="H191" s="6"/>
      <c r="I191" s="6" t="s">
        <v>684</v>
      </c>
      <c r="J191" s="6"/>
      <c r="K191" s="6" t="s">
        <v>184</v>
      </c>
      <c r="L191" s="6" t="s">
        <v>685</v>
      </c>
      <c r="M191" s="6"/>
      <c r="N191" s="6"/>
      <c r="O191" s="6" t="s">
        <v>451</v>
      </c>
      <c r="P191" s="6" t="s">
        <v>1005</v>
      </c>
      <c r="Q191" s="8" t="s">
        <v>687</v>
      </c>
    </row>
    <row r="192" customFormat="false" ht="22.35" hidden="false" customHeight="false" outlineLevel="0" collapsed="false">
      <c r="A192" s="6" t="s">
        <v>1006</v>
      </c>
      <c r="B192" s="6" t="s">
        <v>1007</v>
      </c>
      <c r="C192" s="6" t="s">
        <v>411</v>
      </c>
      <c r="D192" s="6" t="s">
        <v>444</v>
      </c>
      <c r="E192" s="6" t="s">
        <v>413</v>
      </c>
      <c r="F192" s="6" t="s">
        <v>445</v>
      </c>
      <c r="G192" s="6" t="s">
        <v>445</v>
      </c>
      <c r="H192" s="6"/>
      <c r="I192" s="6" t="s">
        <v>684</v>
      </c>
      <c r="J192" s="6"/>
      <c r="K192" s="6" t="s">
        <v>184</v>
      </c>
      <c r="L192" s="6" t="s">
        <v>685</v>
      </c>
      <c r="M192" s="6"/>
      <c r="N192" s="6"/>
      <c r="O192" s="6" t="s">
        <v>451</v>
      </c>
      <c r="P192" s="6" t="s">
        <v>1008</v>
      </c>
      <c r="Q192" s="8" t="s">
        <v>687</v>
      </c>
    </row>
    <row r="193" customFormat="false" ht="22.35" hidden="false" customHeight="false" outlineLevel="0" collapsed="false">
      <c r="A193" s="6" t="s">
        <v>1009</v>
      </c>
      <c r="B193" s="6" t="s">
        <v>1010</v>
      </c>
      <c r="C193" s="6" t="s">
        <v>411</v>
      </c>
      <c r="D193" s="6" t="s">
        <v>750</v>
      </c>
      <c r="E193" s="6" t="s">
        <v>413</v>
      </c>
      <c r="F193" s="6" t="s">
        <v>881</v>
      </c>
      <c r="G193" s="6" t="s">
        <v>881</v>
      </c>
      <c r="H193" s="6"/>
      <c r="I193" s="6" t="s">
        <v>684</v>
      </c>
      <c r="J193" s="6"/>
      <c r="K193" s="6" t="s">
        <v>184</v>
      </c>
      <c r="L193" s="6" t="s">
        <v>685</v>
      </c>
      <c r="M193" s="6"/>
      <c r="N193" s="6"/>
      <c r="O193" s="6" t="s">
        <v>163</v>
      </c>
      <c r="P193" s="6" t="s">
        <v>1011</v>
      </c>
      <c r="Q193" s="8" t="s">
        <v>687</v>
      </c>
    </row>
    <row r="194" customFormat="false" ht="22.35" hidden="false" customHeight="false" outlineLevel="0" collapsed="false">
      <c r="A194" s="6" t="s">
        <v>1012</v>
      </c>
      <c r="B194" s="6" t="s">
        <v>1013</v>
      </c>
      <c r="C194" s="6" t="s">
        <v>411</v>
      </c>
      <c r="D194" s="6" t="s">
        <v>695</v>
      </c>
      <c r="E194" s="6" t="s">
        <v>413</v>
      </c>
      <c r="F194" s="6" t="s">
        <v>463</v>
      </c>
      <c r="G194" s="6" t="s">
        <v>463</v>
      </c>
      <c r="H194" s="6"/>
      <c r="I194" s="6" t="s">
        <v>684</v>
      </c>
      <c r="J194" s="6"/>
      <c r="K194" s="6" t="s">
        <v>184</v>
      </c>
      <c r="L194" s="6" t="s">
        <v>685</v>
      </c>
      <c r="M194" s="6"/>
      <c r="N194" s="6"/>
      <c r="O194" s="6" t="s">
        <v>420</v>
      </c>
      <c r="P194" s="6" t="s">
        <v>1014</v>
      </c>
      <c r="Q194" s="8" t="s">
        <v>687</v>
      </c>
    </row>
    <row r="195" customFormat="false" ht="22.35" hidden="false" customHeight="false" outlineLevel="0" collapsed="false">
      <c r="A195" s="6" t="s">
        <v>1015</v>
      </c>
      <c r="B195" s="6" t="s">
        <v>1016</v>
      </c>
      <c r="C195" s="6" t="s">
        <v>411</v>
      </c>
      <c r="D195" s="6" t="s">
        <v>444</v>
      </c>
      <c r="E195" s="6" t="s">
        <v>413</v>
      </c>
      <c r="F195" s="6" t="s">
        <v>393</v>
      </c>
      <c r="G195" s="6" t="s">
        <v>393</v>
      </c>
      <c r="H195" s="6"/>
      <c r="I195" s="6" t="s">
        <v>684</v>
      </c>
      <c r="J195" s="6"/>
      <c r="K195" s="6" t="s">
        <v>184</v>
      </c>
      <c r="L195" s="6" t="s">
        <v>685</v>
      </c>
      <c r="M195" s="6"/>
      <c r="N195" s="6"/>
      <c r="O195" s="6" t="s">
        <v>451</v>
      </c>
      <c r="P195" s="6" t="s">
        <v>1017</v>
      </c>
      <c r="Q195" s="8" t="s">
        <v>687</v>
      </c>
    </row>
    <row r="196" customFormat="false" ht="22.35" hidden="false" customHeight="false" outlineLevel="0" collapsed="false">
      <c r="A196" s="6" t="s">
        <v>1018</v>
      </c>
      <c r="B196" s="6" t="s">
        <v>1019</v>
      </c>
      <c r="C196" s="6" t="s">
        <v>411</v>
      </c>
      <c r="D196" s="6" t="s">
        <v>444</v>
      </c>
      <c r="E196" s="6" t="s">
        <v>413</v>
      </c>
      <c r="F196" s="6" t="s">
        <v>393</v>
      </c>
      <c r="G196" s="6" t="s">
        <v>393</v>
      </c>
      <c r="H196" s="6"/>
      <c r="I196" s="6" t="s">
        <v>684</v>
      </c>
      <c r="J196" s="6"/>
      <c r="K196" s="6" t="s">
        <v>184</v>
      </c>
      <c r="L196" s="6" t="s">
        <v>685</v>
      </c>
      <c r="M196" s="6"/>
      <c r="N196" s="6"/>
      <c r="O196" s="6" t="s">
        <v>451</v>
      </c>
      <c r="P196" s="6" t="s">
        <v>1020</v>
      </c>
      <c r="Q196" s="8" t="s">
        <v>687</v>
      </c>
    </row>
    <row r="197" customFormat="false" ht="22.35" hidden="false" customHeight="false" outlineLevel="0" collapsed="false">
      <c r="A197" s="6" t="s">
        <v>1021</v>
      </c>
      <c r="B197" s="6" t="s">
        <v>1022</v>
      </c>
      <c r="C197" s="6" t="s">
        <v>411</v>
      </c>
      <c r="D197" s="6" t="s">
        <v>1023</v>
      </c>
      <c r="E197" s="6" t="s">
        <v>413</v>
      </c>
      <c r="F197" s="6" t="s">
        <v>1024</v>
      </c>
      <c r="G197" s="6" t="s">
        <v>1024</v>
      </c>
      <c r="H197" s="6"/>
      <c r="I197" s="6" t="s">
        <v>684</v>
      </c>
      <c r="J197" s="6"/>
      <c r="K197" s="6" t="s">
        <v>184</v>
      </c>
      <c r="L197" s="6" t="s">
        <v>685</v>
      </c>
      <c r="M197" s="6"/>
      <c r="N197" s="6"/>
      <c r="O197" s="6" t="s">
        <v>518</v>
      </c>
      <c r="P197" s="6" t="s">
        <v>1025</v>
      </c>
      <c r="Q197" s="8" t="s">
        <v>687</v>
      </c>
    </row>
    <row r="198" customFormat="false" ht="22.35" hidden="false" customHeight="false" outlineLevel="0" collapsed="false">
      <c r="A198" s="6" t="s">
        <v>1026</v>
      </c>
      <c r="B198" s="6" t="s">
        <v>1027</v>
      </c>
      <c r="C198" s="6" t="s">
        <v>411</v>
      </c>
      <c r="D198" s="6" t="s">
        <v>1023</v>
      </c>
      <c r="E198" s="6" t="s">
        <v>413</v>
      </c>
      <c r="F198" s="6" t="s">
        <v>1024</v>
      </c>
      <c r="G198" s="6" t="s">
        <v>1024</v>
      </c>
      <c r="H198" s="6"/>
      <c r="I198" s="6" t="s">
        <v>684</v>
      </c>
      <c r="J198" s="6"/>
      <c r="K198" s="6" t="s">
        <v>184</v>
      </c>
      <c r="L198" s="6" t="s">
        <v>685</v>
      </c>
      <c r="M198" s="6"/>
      <c r="N198" s="6"/>
      <c r="O198" s="6" t="s">
        <v>518</v>
      </c>
      <c r="P198" s="6" t="s">
        <v>1028</v>
      </c>
      <c r="Q198" s="8" t="s">
        <v>687</v>
      </c>
    </row>
    <row r="199" customFormat="false" ht="22.35" hidden="false" customHeight="false" outlineLevel="0" collapsed="false">
      <c r="A199" s="6" t="s">
        <v>1029</v>
      </c>
      <c r="B199" s="6" t="s">
        <v>1030</v>
      </c>
      <c r="C199" s="6" t="s">
        <v>411</v>
      </c>
      <c r="D199" s="6" t="s">
        <v>487</v>
      </c>
      <c r="E199" s="6" t="s">
        <v>413</v>
      </c>
      <c r="F199" s="6" t="s">
        <v>500</v>
      </c>
      <c r="G199" s="6" t="s">
        <v>500</v>
      </c>
      <c r="H199" s="6"/>
      <c r="I199" s="6" t="s">
        <v>684</v>
      </c>
      <c r="J199" s="6"/>
      <c r="K199" s="6" t="s">
        <v>184</v>
      </c>
      <c r="L199" s="6" t="s">
        <v>685</v>
      </c>
      <c r="M199" s="6"/>
      <c r="N199" s="6"/>
      <c r="O199" s="6" t="s">
        <v>495</v>
      </c>
      <c r="P199" s="6" t="s">
        <v>1031</v>
      </c>
      <c r="Q199" s="8" t="s">
        <v>687</v>
      </c>
    </row>
    <row r="200" customFormat="false" ht="22.35" hidden="false" customHeight="false" outlineLevel="0" collapsed="false">
      <c r="A200" s="6" t="s">
        <v>1032</v>
      </c>
      <c r="B200" s="6" t="s">
        <v>1033</v>
      </c>
      <c r="C200" s="6" t="s">
        <v>411</v>
      </c>
      <c r="D200" s="6" t="s">
        <v>444</v>
      </c>
      <c r="E200" s="6" t="s">
        <v>413</v>
      </c>
      <c r="F200" s="6" t="s">
        <v>393</v>
      </c>
      <c r="G200" s="6" t="s">
        <v>393</v>
      </c>
      <c r="H200" s="6"/>
      <c r="I200" s="6" t="s">
        <v>684</v>
      </c>
      <c r="J200" s="6"/>
      <c r="K200" s="6" t="s">
        <v>184</v>
      </c>
      <c r="L200" s="6" t="s">
        <v>685</v>
      </c>
      <c r="M200" s="6"/>
      <c r="N200" s="6"/>
      <c r="O200" s="6" t="s">
        <v>451</v>
      </c>
      <c r="P200" s="6" t="s">
        <v>1034</v>
      </c>
      <c r="Q200" s="8" t="s">
        <v>687</v>
      </c>
    </row>
    <row r="201" customFormat="false" ht="22.35" hidden="false" customHeight="false" outlineLevel="0" collapsed="false">
      <c r="A201" s="6" t="s">
        <v>1035</v>
      </c>
      <c r="B201" s="6" t="s">
        <v>1036</v>
      </c>
      <c r="C201" s="6" t="s">
        <v>411</v>
      </c>
      <c r="D201" s="6" t="s">
        <v>444</v>
      </c>
      <c r="E201" s="6" t="s">
        <v>413</v>
      </c>
      <c r="F201" s="6" t="s">
        <v>393</v>
      </c>
      <c r="G201" s="6" t="s">
        <v>393</v>
      </c>
      <c r="H201" s="6"/>
      <c r="I201" s="6" t="s">
        <v>684</v>
      </c>
      <c r="J201" s="6"/>
      <c r="K201" s="6" t="s">
        <v>184</v>
      </c>
      <c r="L201" s="6" t="s">
        <v>685</v>
      </c>
      <c r="M201" s="6"/>
      <c r="N201" s="6"/>
      <c r="O201" s="6" t="s">
        <v>451</v>
      </c>
      <c r="P201" s="6" t="s">
        <v>1037</v>
      </c>
      <c r="Q201" s="8" t="s">
        <v>687</v>
      </c>
    </row>
    <row r="202" customFormat="false" ht="22.35" hidden="false" customHeight="false" outlineLevel="0" collapsed="false">
      <c r="A202" s="6" t="s">
        <v>1038</v>
      </c>
      <c r="B202" s="6" t="s">
        <v>1039</v>
      </c>
      <c r="C202" s="6" t="s">
        <v>411</v>
      </c>
      <c r="D202" s="6" t="s">
        <v>487</v>
      </c>
      <c r="E202" s="6" t="s">
        <v>413</v>
      </c>
      <c r="F202" s="6" t="s">
        <v>500</v>
      </c>
      <c r="G202" s="6" t="s">
        <v>500</v>
      </c>
      <c r="H202" s="6"/>
      <c r="I202" s="6" t="s">
        <v>684</v>
      </c>
      <c r="J202" s="6"/>
      <c r="K202" s="6" t="s">
        <v>184</v>
      </c>
      <c r="L202" s="6" t="s">
        <v>685</v>
      </c>
      <c r="M202" s="6"/>
      <c r="N202" s="6"/>
      <c r="O202" s="6" t="s">
        <v>495</v>
      </c>
      <c r="P202" s="6" t="s">
        <v>1040</v>
      </c>
      <c r="Q202" s="8" t="s">
        <v>687</v>
      </c>
    </row>
    <row r="203" customFormat="false" ht="22.35" hidden="false" customHeight="false" outlineLevel="0" collapsed="false">
      <c r="A203" s="6" t="s">
        <v>1041</v>
      </c>
      <c r="B203" s="6" t="s">
        <v>1042</v>
      </c>
      <c r="C203" s="6" t="s">
        <v>411</v>
      </c>
      <c r="D203" s="6" t="s">
        <v>444</v>
      </c>
      <c r="E203" s="6" t="s">
        <v>413</v>
      </c>
      <c r="F203" s="6" t="s">
        <v>393</v>
      </c>
      <c r="G203" s="6" t="s">
        <v>393</v>
      </c>
      <c r="H203" s="6"/>
      <c r="I203" s="6" t="s">
        <v>684</v>
      </c>
      <c r="J203" s="6"/>
      <c r="K203" s="6" t="s">
        <v>184</v>
      </c>
      <c r="L203" s="6" t="s">
        <v>685</v>
      </c>
      <c r="M203" s="6"/>
      <c r="N203" s="6"/>
      <c r="O203" s="6" t="s">
        <v>451</v>
      </c>
      <c r="P203" s="6" t="s">
        <v>1043</v>
      </c>
      <c r="Q203" s="8" t="s">
        <v>687</v>
      </c>
    </row>
    <row r="204" customFormat="false" ht="22.35" hidden="false" customHeight="false" outlineLevel="0" collapsed="false">
      <c r="A204" s="6" t="s">
        <v>1044</v>
      </c>
      <c r="B204" s="6" t="s">
        <v>1045</v>
      </c>
      <c r="C204" s="6" t="s">
        <v>411</v>
      </c>
      <c r="D204" s="6" t="s">
        <v>444</v>
      </c>
      <c r="E204" s="6" t="s">
        <v>413</v>
      </c>
      <c r="F204" s="6" t="s">
        <v>393</v>
      </c>
      <c r="G204" s="6" t="s">
        <v>393</v>
      </c>
      <c r="H204" s="6"/>
      <c r="I204" s="6" t="s">
        <v>684</v>
      </c>
      <c r="J204" s="6"/>
      <c r="K204" s="6" t="s">
        <v>184</v>
      </c>
      <c r="L204" s="6" t="s">
        <v>685</v>
      </c>
      <c r="M204" s="6"/>
      <c r="N204" s="6"/>
      <c r="O204" s="6" t="s">
        <v>451</v>
      </c>
      <c r="P204" s="6" t="s">
        <v>1046</v>
      </c>
      <c r="Q204" s="8" t="s">
        <v>687</v>
      </c>
    </row>
    <row r="205" customFormat="false" ht="43.25" hidden="false" customHeight="false" outlineLevel="0" collapsed="false">
      <c r="A205" s="6" t="s">
        <v>1047</v>
      </c>
      <c r="B205" s="6" t="s">
        <v>1048</v>
      </c>
      <c r="C205" s="6" t="s">
        <v>411</v>
      </c>
      <c r="D205" s="6" t="s">
        <v>1023</v>
      </c>
      <c r="E205" s="6" t="s">
        <v>413</v>
      </c>
      <c r="F205" s="6" t="s">
        <v>1024</v>
      </c>
      <c r="G205" s="6" t="s">
        <v>1024</v>
      </c>
      <c r="H205" s="6"/>
      <c r="I205" s="6" t="s">
        <v>684</v>
      </c>
      <c r="J205" s="6"/>
      <c r="K205" s="6" t="s">
        <v>184</v>
      </c>
      <c r="L205" s="6" t="s">
        <v>685</v>
      </c>
      <c r="M205" s="6"/>
      <c r="N205" s="6"/>
      <c r="O205" s="6" t="s">
        <v>518</v>
      </c>
      <c r="P205" s="6" t="s">
        <v>1049</v>
      </c>
      <c r="Q205" s="8" t="s">
        <v>687</v>
      </c>
    </row>
    <row r="206" customFormat="false" ht="22.35" hidden="false" customHeight="false" outlineLevel="0" collapsed="false">
      <c r="A206" s="6" t="s">
        <v>1050</v>
      </c>
      <c r="B206" s="6" t="s">
        <v>1051</v>
      </c>
      <c r="C206" s="6" t="s">
        <v>411</v>
      </c>
      <c r="D206" s="6" t="s">
        <v>690</v>
      </c>
      <c r="E206" s="6" t="s">
        <v>413</v>
      </c>
      <c r="F206" s="6" t="s">
        <v>562</v>
      </c>
      <c r="G206" s="6" t="s">
        <v>562</v>
      </c>
      <c r="H206" s="6"/>
      <c r="I206" s="6" t="s">
        <v>684</v>
      </c>
      <c r="J206" s="6"/>
      <c r="K206" s="6" t="s">
        <v>184</v>
      </c>
      <c r="L206" s="6" t="s">
        <v>685</v>
      </c>
      <c r="M206" s="6"/>
      <c r="N206" s="6"/>
      <c r="O206" s="6" t="s">
        <v>310</v>
      </c>
      <c r="P206" s="6" t="s">
        <v>1052</v>
      </c>
      <c r="Q206" s="8" t="s">
        <v>687</v>
      </c>
    </row>
    <row r="207" customFormat="false" ht="32.8" hidden="false" customHeight="false" outlineLevel="0" collapsed="false">
      <c r="A207" s="6" t="s">
        <v>1053</v>
      </c>
      <c r="B207" s="6" t="s">
        <v>1054</v>
      </c>
      <c r="C207" s="6" t="s">
        <v>411</v>
      </c>
      <c r="D207" s="6" t="s">
        <v>97</v>
      </c>
      <c r="E207" s="6" t="s">
        <v>413</v>
      </c>
      <c r="F207" s="6" t="s">
        <v>99</v>
      </c>
      <c r="G207" s="6" t="s">
        <v>99</v>
      </c>
      <c r="H207" s="6"/>
      <c r="I207" s="6" t="s">
        <v>684</v>
      </c>
      <c r="J207" s="6"/>
      <c r="K207" s="6" t="s">
        <v>184</v>
      </c>
      <c r="L207" s="6" t="s">
        <v>685</v>
      </c>
      <c r="M207" s="6"/>
      <c r="N207" s="6"/>
      <c r="O207" s="6" t="s">
        <v>108</v>
      </c>
      <c r="P207" s="6" t="s">
        <v>1055</v>
      </c>
      <c r="Q207" s="8" t="s">
        <v>687</v>
      </c>
    </row>
    <row r="208" customFormat="false" ht="22.35" hidden="false" customHeight="false" outlineLevel="0" collapsed="false">
      <c r="A208" s="6" t="s">
        <v>1056</v>
      </c>
      <c r="B208" s="6" t="s">
        <v>1057</v>
      </c>
      <c r="C208" s="6" t="s">
        <v>411</v>
      </c>
      <c r="D208" s="6" t="s">
        <v>690</v>
      </c>
      <c r="E208" s="6" t="s">
        <v>413</v>
      </c>
      <c r="F208" s="6" t="s">
        <v>562</v>
      </c>
      <c r="G208" s="6" t="s">
        <v>562</v>
      </c>
      <c r="H208" s="6"/>
      <c r="I208" s="6" t="s">
        <v>684</v>
      </c>
      <c r="J208" s="6"/>
      <c r="K208" s="6" t="s">
        <v>184</v>
      </c>
      <c r="L208" s="6" t="s">
        <v>685</v>
      </c>
      <c r="M208" s="6"/>
      <c r="N208" s="6"/>
      <c r="O208" s="6" t="s">
        <v>310</v>
      </c>
      <c r="P208" s="6" t="s">
        <v>1058</v>
      </c>
      <c r="Q208" s="8" t="s">
        <v>687</v>
      </c>
    </row>
    <row r="209" customFormat="false" ht="22.35" hidden="false" customHeight="false" outlineLevel="0" collapsed="false">
      <c r="A209" s="6" t="s">
        <v>1059</v>
      </c>
      <c r="B209" s="6" t="s">
        <v>1060</v>
      </c>
      <c r="C209" s="6" t="s">
        <v>411</v>
      </c>
      <c r="D209" s="6" t="s">
        <v>690</v>
      </c>
      <c r="E209" s="6" t="s">
        <v>413</v>
      </c>
      <c r="F209" s="6" t="s">
        <v>562</v>
      </c>
      <c r="G209" s="6" t="s">
        <v>562</v>
      </c>
      <c r="H209" s="6"/>
      <c r="I209" s="6" t="s">
        <v>684</v>
      </c>
      <c r="J209" s="6"/>
      <c r="K209" s="6" t="s">
        <v>184</v>
      </c>
      <c r="L209" s="6" t="s">
        <v>685</v>
      </c>
      <c r="M209" s="6"/>
      <c r="N209" s="6"/>
      <c r="O209" s="6" t="s">
        <v>310</v>
      </c>
      <c r="P209" s="6" t="s">
        <v>1061</v>
      </c>
      <c r="Q209" s="8" t="s">
        <v>687</v>
      </c>
    </row>
    <row r="210" customFormat="false" ht="32.8" hidden="false" customHeight="false" outlineLevel="0" collapsed="false">
      <c r="A210" s="6" t="s">
        <v>1062</v>
      </c>
      <c r="B210" s="6" t="s">
        <v>1063</v>
      </c>
      <c r="C210" s="6" t="s">
        <v>411</v>
      </c>
      <c r="D210" s="6" t="s">
        <v>1023</v>
      </c>
      <c r="E210" s="6" t="s">
        <v>413</v>
      </c>
      <c r="F210" s="6" t="s">
        <v>1024</v>
      </c>
      <c r="G210" s="6" t="s">
        <v>1024</v>
      </c>
      <c r="H210" s="6"/>
      <c r="I210" s="6" t="s">
        <v>684</v>
      </c>
      <c r="J210" s="6"/>
      <c r="K210" s="6" t="s">
        <v>184</v>
      </c>
      <c r="L210" s="6" t="s">
        <v>685</v>
      </c>
      <c r="M210" s="6"/>
      <c r="N210" s="6"/>
      <c r="O210" s="6" t="s">
        <v>518</v>
      </c>
      <c r="P210" s="6" t="s">
        <v>1064</v>
      </c>
      <c r="Q210" s="8" t="s">
        <v>687</v>
      </c>
    </row>
    <row r="211" customFormat="false" ht="22.35" hidden="false" customHeight="false" outlineLevel="0" collapsed="false">
      <c r="A211" s="6" t="s">
        <v>1065</v>
      </c>
      <c r="B211" s="6" t="s">
        <v>1066</v>
      </c>
      <c r="C211" s="6" t="s">
        <v>411</v>
      </c>
      <c r="D211" s="6" t="s">
        <v>690</v>
      </c>
      <c r="E211" s="6" t="s">
        <v>413</v>
      </c>
      <c r="F211" s="6" t="s">
        <v>562</v>
      </c>
      <c r="G211" s="6" t="s">
        <v>562</v>
      </c>
      <c r="H211" s="6"/>
      <c r="I211" s="6" t="s">
        <v>684</v>
      </c>
      <c r="J211" s="6"/>
      <c r="K211" s="6" t="s">
        <v>184</v>
      </c>
      <c r="L211" s="6" t="s">
        <v>685</v>
      </c>
      <c r="M211" s="6"/>
      <c r="N211" s="6"/>
      <c r="O211" s="6" t="s">
        <v>310</v>
      </c>
      <c r="P211" s="6" t="s">
        <v>1067</v>
      </c>
      <c r="Q211" s="8" t="s">
        <v>687</v>
      </c>
    </row>
    <row r="212" customFormat="false" ht="32.8" hidden="false" customHeight="false" outlineLevel="0" collapsed="false">
      <c r="A212" s="6" t="s">
        <v>1068</v>
      </c>
      <c r="B212" s="6" t="s">
        <v>1069</v>
      </c>
      <c r="C212" s="6" t="s">
        <v>411</v>
      </c>
      <c r="D212" s="6" t="s">
        <v>1023</v>
      </c>
      <c r="E212" s="6" t="s">
        <v>413</v>
      </c>
      <c r="F212" s="6" t="s">
        <v>1024</v>
      </c>
      <c r="G212" s="6" t="s">
        <v>1024</v>
      </c>
      <c r="H212" s="6"/>
      <c r="I212" s="6" t="s">
        <v>684</v>
      </c>
      <c r="J212" s="6"/>
      <c r="K212" s="6" t="s">
        <v>184</v>
      </c>
      <c r="L212" s="6" t="s">
        <v>685</v>
      </c>
      <c r="M212" s="6"/>
      <c r="N212" s="6"/>
      <c r="O212" s="6" t="s">
        <v>518</v>
      </c>
      <c r="P212" s="6" t="s">
        <v>1070</v>
      </c>
      <c r="Q212" s="8" t="s">
        <v>687</v>
      </c>
    </row>
    <row r="213" customFormat="false" ht="22.35" hidden="false" customHeight="false" outlineLevel="0" collapsed="false">
      <c r="A213" s="6" t="s">
        <v>1071</v>
      </c>
      <c r="B213" s="6" t="s">
        <v>1072</v>
      </c>
      <c r="C213" s="6" t="s">
        <v>411</v>
      </c>
      <c r="D213" s="6" t="s">
        <v>690</v>
      </c>
      <c r="E213" s="6" t="s">
        <v>413</v>
      </c>
      <c r="F213" s="6" t="s">
        <v>562</v>
      </c>
      <c r="G213" s="6" t="s">
        <v>562</v>
      </c>
      <c r="H213" s="6"/>
      <c r="I213" s="6" t="s">
        <v>684</v>
      </c>
      <c r="J213" s="6"/>
      <c r="K213" s="6" t="s">
        <v>184</v>
      </c>
      <c r="L213" s="6" t="s">
        <v>685</v>
      </c>
      <c r="M213" s="6"/>
      <c r="N213" s="6"/>
      <c r="O213" s="6" t="s">
        <v>310</v>
      </c>
      <c r="P213" s="6" t="s">
        <v>1073</v>
      </c>
      <c r="Q213" s="8" t="s">
        <v>687</v>
      </c>
    </row>
    <row r="214" customFormat="false" ht="22.35" hidden="false" customHeight="false" outlineLevel="0" collapsed="false">
      <c r="A214" s="6" t="s">
        <v>1074</v>
      </c>
      <c r="B214" s="6" t="s">
        <v>1075</v>
      </c>
      <c r="C214" s="6" t="s">
        <v>411</v>
      </c>
      <c r="D214" s="6" t="s">
        <v>690</v>
      </c>
      <c r="E214" s="6" t="s">
        <v>413</v>
      </c>
      <c r="F214" s="6" t="s">
        <v>562</v>
      </c>
      <c r="G214" s="6" t="s">
        <v>562</v>
      </c>
      <c r="H214" s="6"/>
      <c r="I214" s="6" t="s">
        <v>684</v>
      </c>
      <c r="J214" s="6"/>
      <c r="K214" s="6" t="s">
        <v>184</v>
      </c>
      <c r="L214" s="6" t="s">
        <v>685</v>
      </c>
      <c r="M214" s="6"/>
      <c r="N214" s="6"/>
      <c r="O214" s="6" t="s">
        <v>310</v>
      </c>
      <c r="P214" s="6" t="s">
        <v>1076</v>
      </c>
      <c r="Q214" s="8" t="s">
        <v>687</v>
      </c>
    </row>
    <row r="215" customFormat="false" ht="22.35" hidden="false" customHeight="false" outlineLevel="0" collapsed="false">
      <c r="A215" s="6" t="s">
        <v>1077</v>
      </c>
      <c r="B215" s="6" t="s">
        <v>1078</v>
      </c>
      <c r="C215" s="6" t="s">
        <v>411</v>
      </c>
      <c r="D215" s="6" t="s">
        <v>690</v>
      </c>
      <c r="E215" s="6" t="s">
        <v>413</v>
      </c>
      <c r="F215" s="6" t="s">
        <v>562</v>
      </c>
      <c r="G215" s="6" t="s">
        <v>562</v>
      </c>
      <c r="H215" s="6"/>
      <c r="I215" s="6" t="s">
        <v>684</v>
      </c>
      <c r="J215" s="6"/>
      <c r="K215" s="6" t="s">
        <v>184</v>
      </c>
      <c r="L215" s="6" t="s">
        <v>685</v>
      </c>
      <c r="M215" s="6"/>
      <c r="N215" s="6"/>
      <c r="O215" s="6" t="s">
        <v>310</v>
      </c>
      <c r="P215" s="6" t="s">
        <v>1079</v>
      </c>
      <c r="Q215" s="8" t="s">
        <v>687</v>
      </c>
    </row>
    <row r="216" customFormat="false" ht="22.35" hidden="false" customHeight="false" outlineLevel="0" collapsed="false">
      <c r="A216" s="6" t="s">
        <v>1080</v>
      </c>
      <c r="B216" s="6" t="s">
        <v>1081</v>
      </c>
      <c r="C216" s="6" t="s">
        <v>411</v>
      </c>
      <c r="D216" s="6" t="s">
        <v>1023</v>
      </c>
      <c r="E216" s="6" t="s">
        <v>413</v>
      </c>
      <c r="F216" s="6" t="s">
        <v>1024</v>
      </c>
      <c r="G216" s="6" t="s">
        <v>1024</v>
      </c>
      <c r="H216" s="6"/>
      <c r="I216" s="6" t="s">
        <v>684</v>
      </c>
      <c r="J216" s="6"/>
      <c r="K216" s="6" t="s">
        <v>184</v>
      </c>
      <c r="L216" s="6" t="s">
        <v>685</v>
      </c>
      <c r="M216" s="6"/>
      <c r="N216" s="6"/>
      <c r="O216" s="6" t="s">
        <v>518</v>
      </c>
      <c r="P216" s="6" t="s">
        <v>1082</v>
      </c>
      <c r="Q216" s="8" t="s">
        <v>687</v>
      </c>
    </row>
    <row r="217" customFormat="false" ht="22.35" hidden="false" customHeight="false" outlineLevel="0" collapsed="false">
      <c r="A217" s="6" t="s">
        <v>1083</v>
      </c>
      <c r="B217" s="6" t="s">
        <v>1084</v>
      </c>
      <c r="C217" s="6" t="s">
        <v>411</v>
      </c>
      <c r="D217" s="6" t="s">
        <v>97</v>
      </c>
      <c r="E217" s="6" t="s">
        <v>413</v>
      </c>
      <c r="F217" s="6" t="s">
        <v>99</v>
      </c>
      <c r="G217" s="6" t="s">
        <v>99</v>
      </c>
      <c r="H217" s="6"/>
      <c r="I217" s="6" t="s">
        <v>684</v>
      </c>
      <c r="J217" s="6"/>
      <c r="K217" s="6" t="s">
        <v>184</v>
      </c>
      <c r="L217" s="6" t="s">
        <v>685</v>
      </c>
      <c r="M217" s="6"/>
      <c r="N217" s="6"/>
      <c r="O217" s="6" t="s">
        <v>108</v>
      </c>
      <c r="P217" s="6" t="s">
        <v>1085</v>
      </c>
      <c r="Q217" s="8" t="s">
        <v>687</v>
      </c>
    </row>
    <row r="218" customFormat="false" ht="22.35" hidden="false" customHeight="false" outlineLevel="0" collapsed="false">
      <c r="A218" s="6" t="s">
        <v>1086</v>
      </c>
      <c r="B218" s="6" t="s">
        <v>1087</v>
      </c>
      <c r="C218" s="6" t="s">
        <v>411</v>
      </c>
      <c r="D218" s="6" t="s">
        <v>856</v>
      </c>
      <c r="E218" s="6" t="s">
        <v>413</v>
      </c>
      <c r="F218" s="6" t="s">
        <v>551</v>
      </c>
      <c r="G218" s="6" t="s">
        <v>551</v>
      </c>
      <c r="H218" s="6"/>
      <c r="I218" s="6" t="s">
        <v>684</v>
      </c>
      <c r="J218" s="6"/>
      <c r="K218" s="6" t="s">
        <v>184</v>
      </c>
      <c r="L218" s="6" t="s">
        <v>685</v>
      </c>
      <c r="M218" s="6"/>
      <c r="N218" s="6"/>
      <c r="O218" s="6" t="s">
        <v>558</v>
      </c>
      <c r="P218" s="6" t="s">
        <v>1088</v>
      </c>
      <c r="Q218" s="8" t="s">
        <v>687</v>
      </c>
    </row>
    <row r="219" customFormat="false" ht="22.35" hidden="false" customHeight="false" outlineLevel="0" collapsed="false">
      <c r="A219" s="6" t="s">
        <v>1089</v>
      </c>
      <c r="B219" s="6" t="s">
        <v>1090</v>
      </c>
      <c r="C219" s="6" t="s">
        <v>411</v>
      </c>
      <c r="D219" s="6" t="s">
        <v>1023</v>
      </c>
      <c r="E219" s="6" t="s">
        <v>413</v>
      </c>
      <c r="F219" s="6" t="s">
        <v>1024</v>
      </c>
      <c r="G219" s="6" t="s">
        <v>1024</v>
      </c>
      <c r="H219" s="6"/>
      <c r="I219" s="6" t="s">
        <v>684</v>
      </c>
      <c r="J219" s="6"/>
      <c r="K219" s="6" t="s">
        <v>184</v>
      </c>
      <c r="L219" s="6" t="s">
        <v>685</v>
      </c>
      <c r="M219" s="6"/>
      <c r="N219" s="6"/>
      <c r="O219" s="6" t="s">
        <v>518</v>
      </c>
      <c r="P219" s="6" t="s">
        <v>1091</v>
      </c>
      <c r="Q219" s="8" t="s">
        <v>687</v>
      </c>
    </row>
    <row r="220" customFormat="false" ht="22.35" hidden="false" customHeight="false" outlineLevel="0" collapsed="false">
      <c r="A220" s="6" t="s">
        <v>1092</v>
      </c>
      <c r="B220" s="6" t="s">
        <v>1093</v>
      </c>
      <c r="C220" s="6" t="s">
        <v>411</v>
      </c>
      <c r="D220" s="6" t="s">
        <v>1023</v>
      </c>
      <c r="E220" s="6" t="s">
        <v>413</v>
      </c>
      <c r="F220" s="6" t="s">
        <v>1024</v>
      </c>
      <c r="G220" s="6" t="s">
        <v>1024</v>
      </c>
      <c r="H220" s="6"/>
      <c r="I220" s="6" t="s">
        <v>684</v>
      </c>
      <c r="J220" s="6"/>
      <c r="K220" s="6" t="s">
        <v>184</v>
      </c>
      <c r="L220" s="6" t="s">
        <v>685</v>
      </c>
      <c r="M220" s="6"/>
      <c r="N220" s="6"/>
      <c r="O220" s="6" t="s">
        <v>518</v>
      </c>
      <c r="P220" s="6" t="s">
        <v>1094</v>
      </c>
      <c r="Q220" s="8" t="s">
        <v>687</v>
      </c>
    </row>
    <row r="221" customFormat="false" ht="22.35" hidden="false" customHeight="false" outlineLevel="0" collapsed="false">
      <c r="A221" s="6" t="s">
        <v>1095</v>
      </c>
      <c r="B221" s="6" t="s">
        <v>1096</v>
      </c>
      <c r="C221" s="6" t="s">
        <v>411</v>
      </c>
      <c r="D221" s="6" t="s">
        <v>690</v>
      </c>
      <c r="E221" s="6" t="s">
        <v>413</v>
      </c>
      <c r="F221" s="6" t="s">
        <v>562</v>
      </c>
      <c r="G221" s="6" t="s">
        <v>562</v>
      </c>
      <c r="H221" s="6"/>
      <c r="I221" s="6" t="s">
        <v>684</v>
      </c>
      <c r="J221" s="6"/>
      <c r="K221" s="6" t="s">
        <v>184</v>
      </c>
      <c r="L221" s="6" t="s">
        <v>685</v>
      </c>
      <c r="M221" s="6"/>
      <c r="N221" s="6"/>
      <c r="O221" s="6" t="s">
        <v>310</v>
      </c>
      <c r="P221" s="6" t="s">
        <v>1097</v>
      </c>
      <c r="Q221" s="8" t="s">
        <v>687</v>
      </c>
    </row>
    <row r="222" customFormat="false" ht="22.35" hidden="false" customHeight="false" outlineLevel="0" collapsed="false">
      <c r="A222" s="6" t="s">
        <v>1098</v>
      </c>
      <c r="B222" s="6" t="s">
        <v>1099</v>
      </c>
      <c r="C222" s="6" t="s">
        <v>411</v>
      </c>
      <c r="D222" s="6" t="s">
        <v>690</v>
      </c>
      <c r="E222" s="6" t="s">
        <v>413</v>
      </c>
      <c r="F222" s="6" t="s">
        <v>562</v>
      </c>
      <c r="G222" s="6" t="s">
        <v>562</v>
      </c>
      <c r="H222" s="6"/>
      <c r="I222" s="6" t="s">
        <v>684</v>
      </c>
      <c r="J222" s="6"/>
      <c r="K222" s="6" t="s">
        <v>184</v>
      </c>
      <c r="L222" s="6" t="s">
        <v>685</v>
      </c>
      <c r="M222" s="6"/>
      <c r="N222" s="6"/>
      <c r="O222" s="6" t="s">
        <v>310</v>
      </c>
      <c r="P222" s="6" t="s">
        <v>1100</v>
      </c>
      <c r="Q222" s="8" t="s">
        <v>687</v>
      </c>
    </row>
    <row r="223" customFormat="false" ht="22.35" hidden="false" customHeight="false" outlineLevel="0" collapsed="false">
      <c r="A223" s="6" t="s">
        <v>1101</v>
      </c>
      <c r="B223" s="6" t="s">
        <v>1102</v>
      </c>
      <c r="C223" s="6" t="s">
        <v>411</v>
      </c>
      <c r="D223" s="6" t="s">
        <v>1023</v>
      </c>
      <c r="E223" s="6" t="s">
        <v>413</v>
      </c>
      <c r="F223" s="6" t="s">
        <v>1024</v>
      </c>
      <c r="G223" s="6" t="s">
        <v>1024</v>
      </c>
      <c r="H223" s="6"/>
      <c r="I223" s="6" t="s">
        <v>684</v>
      </c>
      <c r="J223" s="6"/>
      <c r="K223" s="6" t="s">
        <v>184</v>
      </c>
      <c r="L223" s="6" t="s">
        <v>685</v>
      </c>
      <c r="M223" s="6"/>
      <c r="N223" s="6"/>
      <c r="O223" s="6" t="s">
        <v>518</v>
      </c>
      <c r="P223" s="6" t="s">
        <v>1103</v>
      </c>
      <c r="Q223" s="8" t="s">
        <v>687</v>
      </c>
    </row>
    <row r="224" customFormat="false" ht="22.35" hidden="false" customHeight="false" outlineLevel="0" collapsed="false">
      <c r="A224" s="6" t="s">
        <v>1104</v>
      </c>
      <c r="B224" s="6" t="s">
        <v>1105</v>
      </c>
      <c r="C224" s="6" t="s">
        <v>411</v>
      </c>
      <c r="D224" s="6" t="s">
        <v>690</v>
      </c>
      <c r="E224" s="6" t="s">
        <v>413</v>
      </c>
      <c r="F224" s="6" t="s">
        <v>562</v>
      </c>
      <c r="G224" s="6" t="s">
        <v>562</v>
      </c>
      <c r="H224" s="6"/>
      <c r="I224" s="6" t="s">
        <v>684</v>
      </c>
      <c r="J224" s="6"/>
      <c r="K224" s="6" t="s">
        <v>184</v>
      </c>
      <c r="L224" s="6" t="s">
        <v>685</v>
      </c>
      <c r="M224" s="6"/>
      <c r="N224" s="6"/>
      <c r="O224" s="6" t="s">
        <v>310</v>
      </c>
      <c r="P224" s="6" t="s">
        <v>1106</v>
      </c>
      <c r="Q224" s="8" t="s">
        <v>687</v>
      </c>
    </row>
    <row r="225" customFormat="false" ht="22.35" hidden="false" customHeight="false" outlineLevel="0" collapsed="false">
      <c r="A225" s="6" t="s">
        <v>1107</v>
      </c>
      <c r="B225" s="6" t="s">
        <v>1108</v>
      </c>
      <c r="C225" s="6" t="s">
        <v>411</v>
      </c>
      <c r="D225" s="6" t="s">
        <v>690</v>
      </c>
      <c r="E225" s="6" t="s">
        <v>413</v>
      </c>
      <c r="F225" s="6" t="s">
        <v>562</v>
      </c>
      <c r="G225" s="6" t="s">
        <v>562</v>
      </c>
      <c r="H225" s="6"/>
      <c r="I225" s="6" t="s">
        <v>684</v>
      </c>
      <c r="J225" s="6"/>
      <c r="K225" s="6" t="s">
        <v>184</v>
      </c>
      <c r="L225" s="6" t="s">
        <v>685</v>
      </c>
      <c r="M225" s="6"/>
      <c r="N225" s="6"/>
      <c r="O225" s="6" t="s">
        <v>310</v>
      </c>
      <c r="P225" s="6" t="s">
        <v>1109</v>
      </c>
      <c r="Q225" s="8" t="s">
        <v>687</v>
      </c>
    </row>
    <row r="226" customFormat="false" ht="22.35" hidden="false" customHeight="false" outlineLevel="0" collapsed="false">
      <c r="A226" s="6" t="s">
        <v>1110</v>
      </c>
      <c r="B226" s="6" t="s">
        <v>1111</v>
      </c>
      <c r="C226" s="6" t="s">
        <v>411</v>
      </c>
      <c r="D226" s="6" t="s">
        <v>690</v>
      </c>
      <c r="E226" s="6" t="s">
        <v>413</v>
      </c>
      <c r="F226" s="6" t="s">
        <v>562</v>
      </c>
      <c r="G226" s="6" t="s">
        <v>562</v>
      </c>
      <c r="H226" s="6"/>
      <c r="I226" s="6" t="s">
        <v>684</v>
      </c>
      <c r="J226" s="6"/>
      <c r="K226" s="6" t="s">
        <v>184</v>
      </c>
      <c r="L226" s="6" t="s">
        <v>685</v>
      </c>
      <c r="M226" s="6"/>
      <c r="N226" s="6"/>
      <c r="O226" s="6" t="s">
        <v>310</v>
      </c>
      <c r="P226" s="6" t="s">
        <v>1112</v>
      </c>
      <c r="Q226" s="8" t="s">
        <v>687</v>
      </c>
    </row>
    <row r="227" customFormat="false" ht="22.35" hidden="false" customHeight="false" outlineLevel="0" collapsed="false">
      <c r="A227" s="6" t="s">
        <v>1113</v>
      </c>
      <c r="B227" s="6" t="s">
        <v>1114</v>
      </c>
      <c r="C227" s="6" t="s">
        <v>411</v>
      </c>
      <c r="D227" s="6" t="s">
        <v>690</v>
      </c>
      <c r="E227" s="6" t="s">
        <v>413</v>
      </c>
      <c r="F227" s="6" t="s">
        <v>562</v>
      </c>
      <c r="G227" s="6" t="s">
        <v>562</v>
      </c>
      <c r="H227" s="6"/>
      <c r="I227" s="6" t="s">
        <v>684</v>
      </c>
      <c r="J227" s="6"/>
      <c r="K227" s="6" t="s">
        <v>184</v>
      </c>
      <c r="L227" s="6" t="s">
        <v>685</v>
      </c>
      <c r="M227" s="6"/>
      <c r="N227" s="6"/>
      <c r="O227" s="6" t="s">
        <v>310</v>
      </c>
      <c r="P227" s="6" t="s">
        <v>1115</v>
      </c>
      <c r="Q227" s="8" t="s">
        <v>687</v>
      </c>
    </row>
    <row r="228" customFormat="false" ht="22.35" hidden="false" customHeight="false" outlineLevel="0" collapsed="false">
      <c r="A228" s="6" t="s">
        <v>1116</v>
      </c>
      <c r="B228" s="6" t="s">
        <v>1117</v>
      </c>
      <c r="C228" s="6" t="s">
        <v>411</v>
      </c>
      <c r="D228" s="6" t="s">
        <v>97</v>
      </c>
      <c r="E228" s="6" t="s">
        <v>413</v>
      </c>
      <c r="F228" s="6" t="s">
        <v>99</v>
      </c>
      <c r="G228" s="6" t="s">
        <v>99</v>
      </c>
      <c r="H228" s="6"/>
      <c r="I228" s="6" t="s">
        <v>684</v>
      </c>
      <c r="J228" s="6"/>
      <c r="K228" s="6" t="s">
        <v>184</v>
      </c>
      <c r="L228" s="6" t="s">
        <v>685</v>
      </c>
      <c r="M228" s="6"/>
      <c r="N228" s="6"/>
      <c r="O228" s="6" t="s">
        <v>108</v>
      </c>
      <c r="P228" s="6" t="s">
        <v>1118</v>
      </c>
      <c r="Q228" s="8" t="s">
        <v>687</v>
      </c>
    </row>
    <row r="229" customFormat="false" ht="22.35" hidden="false" customHeight="false" outlineLevel="0" collapsed="false">
      <c r="A229" s="6" t="s">
        <v>1119</v>
      </c>
      <c r="B229" s="6" t="s">
        <v>1120</v>
      </c>
      <c r="C229" s="6" t="s">
        <v>411</v>
      </c>
      <c r="D229" s="6" t="s">
        <v>1023</v>
      </c>
      <c r="E229" s="6" t="s">
        <v>413</v>
      </c>
      <c r="F229" s="6" t="s">
        <v>1024</v>
      </c>
      <c r="G229" s="6" t="s">
        <v>1024</v>
      </c>
      <c r="H229" s="6"/>
      <c r="I229" s="6" t="s">
        <v>684</v>
      </c>
      <c r="J229" s="6"/>
      <c r="K229" s="6" t="s">
        <v>184</v>
      </c>
      <c r="L229" s="6" t="s">
        <v>685</v>
      </c>
      <c r="M229" s="6"/>
      <c r="N229" s="6"/>
      <c r="O229" s="6" t="s">
        <v>518</v>
      </c>
      <c r="P229" s="6" t="s">
        <v>1121</v>
      </c>
      <c r="Q229" s="8" t="s">
        <v>687</v>
      </c>
    </row>
    <row r="230" customFormat="false" ht="22.35" hidden="false" customHeight="false" outlineLevel="0" collapsed="false">
      <c r="A230" s="6" t="s">
        <v>1122</v>
      </c>
      <c r="B230" s="6" t="s">
        <v>1123</v>
      </c>
      <c r="C230" s="6" t="s">
        <v>411</v>
      </c>
      <c r="D230" s="6" t="s">
        <v>690</v>
      </c>
      <c r="E230" s="6" t="s">
        <v>413</v>
      </c>
      <c r="F230" s="6" t="s">
        <v>393</v>
      </c>
      <c r="G230" s="6" t="s">
        <v>393</v>
      </c>
      <c r="H230" s="6"/>
      <c r="I230" s="6" t="s">
        <v>684</v>
      </c>
      <c r="J230" s="6"/>
      <c r="K230" s="6" t="s">
        <v>184</v>
      </c>
      <c r="L230" s="6" t="s">
        <v>685</v>
      </c>
      <c r="M230" s="6"/>
      <c r="N230" s="6"/>
      <c r="O230" s="6" t="s">
        <v>310</v>
      </c>
      <c r="P230" s="6" t="s">
        <v>1124</v>
      </c>
      <c r="Q230" s="8" t="s">
        <v>687</v>
      </c>
    </row>
    <row r="231" customFormat="false" ht="22.35" hidden="false" customHeight="false" outlineLevel="0" collapsed="false">
      <c r="A231" s="6" t="s">
        <v>1125</v>
      </c>
      <c r="B231" s="6" t="s">
        <v>1126</v>
      </c>
      <c r="C231" s="6" t="s">
        <v>411</v>
      </c>
      <c r="D231" s="6" t="s">
        <v>444</v>
      </c>
      <c r="E231" s="6" t="s">
        <v>413</v>
      </c>
      <c r="F231" s="6" t="s">
        <v>393</v>
      </c>
      <c r="G231" s="6" t="s">
        <v>393</v>
      </c>
      <c r="H231" s="6"/>
      <c r="I231" s="6" t="s">
        <v>684</v>
      </c>
      <c r="J231" s="6"/>
      <c r="K231" s="6" t="s">
        <v>184</v>
      </c>
      <c r="L231" s="6" t="s">
        <v>685</v>
      </c>
      <c r="M231" s="6"/>
      <c r="N231" s="6"/>
      <c r="O231" s="6" t="s">
        <v>451</v>
      </c>
      <c r="P231" s="6" t="s">
        <v>1127</v>
      </c>
      <c r="Q231" s="8" t="s">
        <v>687</v>
      </c>
    </row>
    <row r="232" customFormat="false" ht="22.35" hidden="false" customHeight="false" outlineLevel="0" collapsed="false">
      <c r="A232" s="6" t="s">
        <v>1128</v>
      </c>
      <c r="B232" s="6" t="s">
        <v>1129</v>
      </c>
      <c r="C232" s="6" t="s">
        <v>411</v>
      </c>
      <c r="D232" s="6" t="s">
        <v>444</v>
      </c>
      <c r="E232" s="6" t="s">
        <v>413</v>
      </c>
      <c r="F232" s="6" t="s">
        <v>445</v>
      </c>
      <c r="G232" s="6" t="s">
        <v>445</v>
      </c>
      <c r="H232" s="6"/>
      <c r="I232" s="6" t="s">
        <v>684</v>
      </c>
      <c r="J232" s="6"/>
      <c r="K232" s="6" t="s">
        <v>184</v>
      </c>
      <c r="L232" s="6" t="s">
        <v>685</v>
      </c>
      <c r="M232" s="6"/>
      <c r="N232" s="6"/>
      <c r="O232" s="6" t="s">
        <v>451</v>
      </c>
      <c r="P232" s="6" t="s">
        <v>1130</v>
      </c>
      <c r="Q232" s="8" t="s">
        <v>687</v>
      </c>
    </row>
    <row r="233" customFormat="false" ht="22.35" hidden="false" customHeight="false" outlineLevel="0" collapsed="false">
      <c r="A233" s="6" t="s">
        <v>1131</v>
      </c>
      <c r="B233" s="6" t="s">
        <v>1132</v>
      </c>
      <c r="C233" s="6" t="s">
        <v>411</v>
      </c>
      <c r="D233" s="6" t="s">
        <v>1133</v>
      </c>
      <c r="E233" s="6" t="s">
        <v>413</v>
      </c>
      <c r="F233" s="6" t="s">
        <v>1134</v>
      </c>
      <c r="G233" s="6" t="s">
        <v>1134</v>
      </c>
      <c r="H233" s="6"/>
      <c r="I233" s="6" t="s">
        <v>684</v>
      </c>
      <c r="J233" s="6"/>
      <c r="K233" s="6" t="s">
        <v>184</v>
      </c>
      <c r="L233" s="6" t="s">
        <v>685</v>
      </c>
      <c r="M233" s="6"/>
      <c r="N233" s="6"/>
      <c r="O233" s="6" t="s">
        <v>1135</v>
      </c>
      <c r="P233" s="6" t="s">
        <v>1136</v>
      </c>
      <c r="Q233" s="8" t="s">
        <v>687</v>
      </c>
    </row>
    <row r="234" customFormat="false" ht="22.35" hidden="false" customHeight="false" outlineLevel="0" collapsed="false">
      <c r="A234" s="6" t="s">
        <v>1137</v>
      </c>
      <c r="B234" s="6" t="s">
        <v>1138</v>
      </c>
      <c r="C234" s="6" t="s">
        <v>411</v>
      </c>
      <c r="D234" s="6" t="s">
        <v>444</v>
      </c>
      <c r="E234" s="6" t="s">
        <v>413</v>
      </c>
      <c r="F234" s="6" t="s">
        <v>445</v>
      </c>
      <c r="G234" s="6" t="s">
        <v>445</v>
      </c>
      <c r="H234" s="6"/>
      <c r="I234" s="6" t="s">
        <v>684</v>
      </c>
      <c r="J234" s="6"/>
      <c r="K234" s="6" t="s">
        <v>184</v>
      </c>
      <c r="L234" s="6" t="s">
        <v>685</v>
      </c>
      <c r="M234" s="6"/>
      <c r="N234" s="6"/>
      <c r="O234" s="6" t="s">
        <v>451</v>
      </c>
      <c r="P234" s="6" t="s">
        <v>1139</v>
      </c>
      <c r="Q234" s="8" t="s">
        <v>687</v>
      </c>
    </row>
    <row r="235" customFormat="false" ht="22.35" hidden="false" customHeight="false" outlineLevel="0" collapsed="false">
      <c r="A235" s="6" t="s">
        <v>1140</v>
      </c>
      <c r="B235" s="6" t="s">
        <v>1141</v>
      </c>
      <c r="C235" s="6" t="s">
        <v>411</v>
      </c>
      <c r="D235" s="6" t="s">
        <v>695</v>
      </c>
      <c r="E235" s="6" t="s">
        <v>413</v>
      </c>
      <c r="F235" s="6" t="s">
        <v>414</v>
      </c>
      <c r="G235" s="6" t="s">
        <v>414</v>
      </c>
      <c r="H235" s="6"/>
      <c r="I235" s="6" t="s">
        <v>684</v>
      </c>
      <c r="J235" s="6"/>
      <c r="K235" s="6" t="s">
        <v>184</v>
      </c>
      <c r="L235" s="6" t="s">
        <v>685</v>
      </c>
      <c r="M235" s="6"/>
      <c r="N235" s="6"/>
      <c r="O235" s="6" t="s">
        <v>420</v>
      </c>
      <c r="P235" s="6" t="s">
        <v>1142</v>
      </c>
      <c r="Q235" s="8" t="s">
        <v>687</v>
      </c>
    </row>
    <row r="236" customFormat="false" ht="22.35" hidden="false" customHeight="false" outlineLevel="0" collapsed="false">
      <c r="A236" s="6" t="s">
        <v>1143</v>
      </c>
      <c r="B236" s="6" t="s">
        <v>1144</v>
      </c>
      <c r="C236" s="6" t="s">
        <v>411</v>
      </c>
      <c r="D236" s="6" t="s">
        <v>695</v>
      </c>
      <c r="E236" s="6" t="s">
        <v>413</v>
      </c>
      <c r="F236" s="6" t="s">
        <v>414</v>
      </c>
      <c r="G236" s="6" t="s">
        <v>414</v>
      </c>
      <c r="H236" s="6"/>
      <c r="I236" s="6" t="s">
        <v>684</v>
      </c>
      <c r="J236" s="6"/>
      <c r="K236" s="6" t="s">
        <v>184</v>
      </c>
      <c r="L236" s="6" t="s">
        <v>685</v>
      </c>
      <c r="M236" s="6"/>
      <c r="N236" s="6"/>
      <c r="O236" s="6" t="s">
        <v>420</v>
      </c>
      <c r="P236" s="6" t="s">
        <v>1145</v>
      </c>
      <c r="Q236" s="8" t="s">
        <v>687</v>
      </c>
    </row>
    <row r="237" customFormat="false" ht="22.35" hidden="false" customHeight="false" outlineLevel="0" collapsed="false">
      <c r="A237" s="6" t="s">
        <v>1146</v>
      </c>
      <c r="B237" s="6" t="s">
        <v>1147</v>
      </c>
      <c r="C237" s="6" t="s">
        <v>411</v>
      </c>
      <c r="D237" s="6" t="s">
        <v>444</v>
      </c>
      <c r="E237" s="6" t="s">
        <v>413</v>
      </c>
      <c r="F237" s="6" t="s">
        <v>445</v>
      </c>
      <c r="G237" s="6" t="s">
        <v>445</v>
      </c>
      <c r="H237" s="6"/>
      <c r="I237" s="6" t="s">
        <v>684</v>
      </c>
      <c r="J237" s="6"/>
      <c r="K237" s="6" t="s">
        <v>184</v>
      </c>
      <c r="L237" s="6" t="s">
        <v>685</v>
      </c>
      <c r="M237" s="6"/>
      <c r="N237" s="6"/>
      <c r="O237" s="6" t="s">
        <v>451</v>
      </c>
      <c r="P237" s="6" t="s">
        <v>1148</v>
      </c>
      <c r="Q237" s="8" t="s">
        <v>687</v>
      </c>
    </row>
    <row r="238" customFormat="false" ht="22.35" hidden="false" customHeight="false" outlineLevel="0" collapsed="false">
      <c r="A238" s="6" t="s">
        <v>1149</v>
      </c>
      <c r="B238" s="6" t="s">
        <v>1150</v>
      </c>
      <c r="C238" s="6" t="s">
        <v>411</v>
      </c>
      <c r="D238" s="6" t="s">
        <v>690</v>
      </c>
      <c r="E238" s="6" t="s">
        <v>413</v>
      </c>
      <c r="F238" s="6" t="s">
        <v>607</v>
      </c>
      <c r="G238" s="6" t="s">
        <v>607</v>
      </c>
      <c r="H238" s="6"/>
      <c r="I238" s="6" t="s">
        <v>684</v>
      </c>
      <c r="J238" s="6"/>
      <c r="K238" s="6" t="s">
        <v>184</v>
      </c>
      <c r="L238" s="6" t="s">
        <v>685</v>
      </c>
      <c r="M238" s="6"/>
      <c r="N238" s="6"/>
      <c r="O238" s="6" t="s">
        <v>310</v>
      </c>
      <c r="P238" s="6" t="s">
        <v>1151</v>
      </c>
      <c r="Q238" s="8" t="s">
        <v>687</v>
      </c>
    </row>
    <row r="239" customFormat="false" ht="22.35" hidden="false" customHeight="false" outlineLevel="0" collapsed="false">
      <c r="A239" s="6" t="s">
        <v>1152</v>
      </c>
      <c r="B239" s="6" t="s">
        <v>1153</v>
      </c>
      <c r="C239" s="6" t="s">
        <v>411</v>
      </c>
      <c r="D239" s="6" t="s">
        <v>695</v>
      </c>
      <c r="E239" s="6" t="s">
        <v>413</v>
      </c>
      <c r="F239" s="6" t="s">
        <v>463</v>
      </c>
      <c r="G239" s="6" t="s">
        <v>463</v>
      </c>
      <c r="H239" s="6"/>
      <c r="I239" s="6" t="s">
        <v>684</v>
      </c>
      <c r="J239" s="6"/>
      <c r="K239" s="6" t="s">
        <v>184</v>
      </c>
      <c r="L239" s="6" t="s">
        <v>685</v>
      </c>
      <c r="M239" s="6"/>
      <c r="N239" s="6"/>
      <c r="O239" s="6" t="s">
        <v>420</v>
      </c>
      <c r="P239" s="6" t="s">
        <v>1154</v>
      </c>
      <c r="Q239" s="8" t="s">
        <v>687</v>
      </c>
    </row>
    <row r="240" customFormat="false" ht="22.35" hidden="false" customHeight="false" outlineLevel="0" collapsed="false">
      <c r="A240" s="6" t="s">
        <v>1155</v>
      </c>
      <c r="B240" s="6" t="s">
        <v>1156</v>
      </c>
      <c r="C240" s="6" t="s">
        <v>411</v>
      </c>
      <c r="D240" s="6" t="s">
        <v>695</v>
      </c>
      <c r="E240" s="6" t="s">
        <v>413</v>
      </c>
      <c r="F240" s="6" t="s">
        <v>414</v>
      </c>
      <c r="G240" s="6" t="s">
        <v>414</v>
      </c>
      <c r="H240" s="6"/>
      <c r="I240" s="6" t="s">
        <v>684</v>
      </c>
      <c r="J240" s="6"/>
      <c r="K240" s="6" t="s">
        <v>184</v>
      </c>
      <c r="L240" s="6" t="s">
        <v>685</v>
      </c>
      <c r="M240" s="6"/>
      <c r="N240" s="6"/>
      <c r="O240" s="6" t="s">
        <v>420</v>
      </c>
      <c r="P240" s="6" t="s">
        <v>1157</v>
      </c>
      <c r="Q240" s="8" t="s">
        <v>687</v>
      </c>
    </row>
    <row r="241" customFormat="false" ht="22.35" hidden="false" customHeight="false" outlineLevel="0" collapsed="false">
      <c r="A241" s="6" t="s">
        <v>1158</v>
      </c>
      <c r="B241" s="6" t="s">
        <v>1159</v>
      </c>
      <c r="C241" s="6" t="s">
        <v>411</v>
      </c>
      <c r="D241" s="6" t="s">
        <v>695</v>
      </c>
      <c r="E241" s="6" t="s">
        <v>413</v>
      </c>
      <c r="F241" s="6" t="s">
        <v>414</v>
      </c>
      <c r="G241" s="6" t="s">
        <v>414</v>
      </c>
      <c r="H241" s="6"/>
      <c r="I241" s="6" t="s">
        <v>684</v>
      </c>
      <c r="J241" s="6"/>
      <c r="K241" s="6" t="s">
        <v>184</v>
      </c>
      <c r="L241" s="6" t="s">
        <v>685</v>
      </c>
      <c r="M241" s="6"/>
      <c r="N241" s="6"/>
      <c r="O241" s="6" t="s">
        <v>420</v>
      </c>
      <c r="P241" s="6" t="s">
        <v>1160</v>
      </c>
      <c r="Q241" s="8" t="s">
        <v>687</v>
      </c>
    </row>
    <row r="242" customFormat="false" ht="22.35" hidden="false" customHeight="false" outlineLevel="0" collapsed="false">
      <c r="A242" s="6" t="s">
        <v>1161</v>
      </c>
      <c r="B242" s="6" t="s">
        <v>1162</v>
      </c>
      <c r="C242" s="6" t="s">
        <v>411</v>
      </c>
      <c r="D242" s="6" t="s">
        <v>695</v>
      </c>
      <c r="E242" s="6" t="s">
        <v>413</v>
      </c>
      <c r="F242" s="6" t="s">
        <v>414</v>
      </c>
      <c r="G242" s="6" t="s">
        <v>414</v>
      </c>
      <c r="H242" s="6"/>
      <c r="I242" s="6" t="s">
        <v>684</v>
      </c>
      <c r="J242" s="6"/>
      <c r="K242" s="6" t="s">
        <v>184</v>
      </c>
      <c r="L242" s="6" t="s">
        <v>685</v>
      </c>
      <c r="M242" s="6"/>
      <c r="N242" s="6"/>
      <c r="O242" s="6" t="s">
        <v>420</v>
      </c>
      <c r="P242" s="6" t="s">
        <v>1163</v>
      </c>
      <c r="Q242" s="8" t="s">
        <v>687</v>
      </c>
    </row>
    <row r="243" customFormat="false" ht="22.35" hidden="false" customHeight="false" outlineLevel="0" collapsed="false">
      <c r="A243" s="6" t="s">
        <v>1164</v>
      </c>
      <c r="B243" s="6" t="s">
        <v>1165</v>
      </c>
      <c r="C243" s="6" t="s">
        <v>411</v>
      </c>
      <c r="D243" s="6" t="s">
        <v>695</v>
      </c>
      <c r="E243" s="6" t="s">
        <v>413</v>
      </c>
      <c r="F243" s="6" t="s">
        <v>414</v>
      </c>
      <c r="G243" s="6" t="s">
        <v>414</v>
      </c>
      <c r="H243" s="6"/>
      <c r="I243" s="6" t="s">
        <v>684</v>
      </c>
      <c r="J243" s="6"/>
      <c r="K243" s="6" t="s">
        <v>184</v>
      </c>
      <c r="L243" s="6" t="s">
        <v>685</v>
      </c>
      <c r="M243" s="6"/>
      <c r="N243" s="6"/>
      <c r="O243" s="6" t="s">
        <v>420</v>
      </c>
      <c r="P243" s="6" t="s">
        <v>1166</v>
      </c>
      <c r="Q243" s="8" t="s">
        <v>687</v>
      </c>
    </row>
    <row r="244" customFormat="false" ht="22.35" hidden="false" customHeight="false" outlineLevel="0" collapsed="false">
      <c r="A244" s="6" t="s">
        <v>1167</v>
      </c>
      <c r="B244" s="6" t="s">
        <v>1168</v>
      </c>
      <c r="C244" s="6" t="s">
        <v>411</v>
      </c>
      <c r="D244" s="6" t="s">
        <v>695</v>
      </c>
      <c r="E244" s="6" t="s">
        <v>413</v>
      </c>
      <c r="F244" s="6" t="s">
        <v>414</v>
      </c>
      <c r="G244" s="6" t="s">
        <v>414</v>
      </c>
      <c r="H244" s="6"/>
      <c r="I244" s="6" t="s">
        <v>684</v>
      </c>
      <c r="J244" s="6"/>
      <c r="K244" s="6" t="s">
        <v>184</v>
      </c>
      <c r="L244" s="6" t="s">
        <v>685</v>
      </c>
      <c r="M244" s="6"/>
      <c r="N244" s="6"/>
      <c r="O244" s="6" t="s">
        <v>420</v>
      </c>
      <c r="P244" s="6" t="s">
        <v>1169</v>
      </c>
      <c r="Q244" s="8" t="s">
        <v>687</v>
      </c>
    </row>
    <row r="245" customFormat="false" ht="22.35" hidden="false" customHeight="false" outlineLevel="0" collapsed="false">
      <c r="A245" s="6" t="s">
        <v>1170</v>
      </c>
      <c r="B245" s="6" t="s">
        <v>1171</v>
      </c>
      <c r="C245" s="6" t="s">
        <v>411</v>
      </c>
      <c r="D245" s="6" t="s">
        <v>695</v>
      </c>
      <c r="E245" s="6" t="s">
        <v>413</v>
      </c>
      <c r="F245" s="6" t="s">
        <v>414</v>
      </c>
      <c r="G245" s="6" t="s">
        <v>414</v>
      </c>
      <c r="H245" s="6"/>
      <c r="I245" s="6" t="s">
        <v>684</v>
      </c>
      <c r="J245" s="6"/>
      <c r="K245" s="6" t="s">
        <v>184</v>
      </c>
      <c r="L245" s="6" t="s">
        <v>685</v>
      </c>
      <c r="M245" s="6"/>
      <c r="N245" s="6"/>
      <c r="O245" s="6" t="s">
        <v>420</v>
      </c>
      <c r="P245" s="6" t="s">
        <v>1172</v>
      </c>
      <c r="Q245" s="8" t="s">
        <v>687</v>
      </c>
    </row>
    <row r="246" customFormat="false" ht="22.35" hidden="false" customHeight="false" outlineLevel="0" collapsed="false">
      <c r="A246" s="6" t="s">
        <v>1173</v>
      </c>
      <c r="B246" s="6" t="s">
        <v>1174</v>
      </c>
      <c r="C246" s="6" t="s">
        <v>411</v>
      </c>
      <c r="D246" s="6" t="s">
        <v>695</v>
      </c>
      <c r="E246" s="6" t="s">
        <v>413</v>
      </c>
      <c r="F246" s="6" t="s">
        <v>463</v>
      </c>
      <c r="G246" s="6" t="s">
        <v>463</v>
      </c>
      <c r="H246" s="6"/>
      <c r="I246" s="6" t="s">
        <v>684</v>
      </c>
      <c r="J246" s="6"/>
      <c r="K246" s="6" t="s">
        <v>184</v>
      </c>
      <c r="L246" s="6" t="s">
        <v>685</v>
      </c>
      <c r="M246" s="6"/>
      <c r="N246" s="6"/>
      <c r="O246" s="6" t="s">
        <v>420</v>
      </c>
      <c r="P246" s="6" t="s">
        <v>1175</v>
      </c>
      <c r="Q246" s="8" t="s">
        <v>687</v>
      </c>
    </row>
    <row r="247" customFormat="false" ht="22.35" hidden="false" customHeight="false" outlineLevel="0" collapsed="false">
      <c r="A247" s="6" t="s">
        <v>1176</v>
      </c>
      <c r="B247" s="6" t="s">
        <v>1177</v>
      </c>
      <c r="C247" s="6" t="s">
        <v>411</v>
      </c>
      <c r="D247" s="6" t="s">
        <v>695</v>
      </c>
      <c r="E247" s="6" t="s">
        <v>413</v>
      </c>
      <c r="F247" s="6" t="s">
        <v>463</v>
      </c>
      <c r="G247" s="6" t="s">
        <v>463</v>
      </c>
      <c r="H247" s="6"/>
      <c r="I247" s="6" t="s">
        <v>684</v>
      </c>
      <c r="J247" s="6"/>
      <c r="K247" s="6" t="s">
        <v>184</v>
      </c>
      <c r="L247" s="6" t="s">
        <v>685</v>
      </c>
      <c r="M247" s="6"/>
      <c r="N247" s="6"/>
      <c r="O247" s="6" t="s">
        <v>420</v>
      </c>
      <c r="P247" s="6" t="s">
        <v>1178</v>
      </c>
      <c r="Q247" s="8" t="s">
        <v>687</v>
      </c>
    </row>
    <row r="248" customFormat="false" ht="22.35" hidden="false" customHeight="false" outlineLevel="0" collapsed="false">
      <c r="A248" s="6" t="s">
        <v>1179</v>
      </c>
      <c r="B248" s="6" t="s">
        <v>1180</v>
      </c>
      <c r="C248" s="6" t="s">
        <v>411</v>
      </c>
      <c r="D248" s="6" t="s">
        <v>695</v>
      </c>
      <c r="E248" s="6" t="s">
        <v>413</v>
      </c>
      <c r="F248" s="6" t="s">
        <v>414</v>
      </c>
      <c r="G248" s="6" t="s">
        <v>414</v>
      </c>
      <c r="H248" s="6"/>
      <c r="I248" s="6" t="s">
        <v>684</v>
      </c>
      <c r="J248" s="6"/>
      <c r="K248" s="6" t="s">
        <v>184</v>
      </c>
      <c r="L248" s="6" t="s">
        <v>685</v>
      </c>
      <c r="M248" s="6"/>
      <c r="N248" s="6"/>
      <c r="O248" s="6" t="s">
        <v>420</v>
      </c>
      <c r="P248" s="6" t="s">
        <v>1181</v>
      </c>
      <c r="Q248" s="8" t="s">
        <v>687</v>
      </c>
    </row>
    <row r="249" customFormat="false" ht="22.35" hidden="false" customHeight="false" outlineLevel="0" collapsed="false">
      <c r="A249" s="6" t="s">
        <v>1182</v>
      </c>
      <c r="B249" s="6" t="s">
        <v>1183</v>
      </c>
      <c r="C249" s="6" t="s">
        <v>411</v>
      </c>
      <c r="D249" s="6" t="s">
        <v>444</v>
      </c>
      <c r="E249" s="6" t="s">
        <v>413</v>
      </c>
      <c r="F249" s="6" t="s">
        <v>393</v>
      </c>
      <c r="G249" s="6" t="s">
        <v>393</v>
      </c>
      <c r="H249" s="6"/>
      <c r="I249" s="6" t="s">
        <v>684</v>
      </c>
      <c r="J249" s="6"/>
      <c r="K249" s="6" t="s">
        <v>184</v>
      </c>
      <c r="L249" s="6" t="s">
        <v>685</v>
      </c>
      <c r="M249" s="6"/>
      <c r="N249" s="6"/>
      <c r="O249" s="6" t="s">
        <v>451</v>
      </c>
      <c r="P249" s="6" t="s">
        <v>1184</v>
      </c>
      <c r="Q249" s="8" t="s">
        <v>687</v>
      </c>
    </row>
    <row r="250" customFormat="false" ht="22.35" hidden="false" customHeight="false" outlineLevel="0" collapsed="false">
      <c r="A250" s="6" t="s">
        <v>1185</v>
      </c>
      <c r="B250" s="6" t="s">
        <v>1186</v>
      </c>
      <c r="C250" s="6" t="s">
        <v>411</v>
      </c>
      <c r="D250" s="6" t="s">
        <v>695</v>
      </c>
      <c r="E250" s="6" t="s">
        <v>413</v>
      </c>
      <c r="F250" s="6" t="s">
        <v>463</v>
      </c>
      <c r="G250" s="6" t="s">
        <v>463</v>
      </c>
      <c r="H250" s="6"/>
      <c r="I250" s="6" t="s">
        <v>684</v>
      </c>
      <c r="J250" s="6"/>
      <c r="K250" s="6" t="s">
        <v>184</v>
      </c>
      <c r="L250" s="6" t="s">
        <v>685</v>
      </c>
      <c r="M250" s="6"/>
      <c r="N250" s="6"/>
      <c r="O250" s="6" t="s">
        <v>420</v>
      </c>
      <c r="P250" s="6" t="s">
        <v>1187</v>
      </c>
      <c r="Q250" s="8" t="s">
        <v>687</v>
      </c>
    </row>
    <row r="251" customFormat="false" ht="22.35" hidden="false" customHeight="false" outlineLevel="0" collapsed="false">
      <c r="A251" s="6" t="s">
        <v>1188</v>
      </c>
      <c r="B251" s="6" t="s">
        <v>1189</v>
      </c>
      <c r="C251" s="6" t="s">
        <v>411</v>
      </c>
      <c r="D251" s="6" t="s">
        <v>695</v>
      </c>
      <c r="E251" s="6" t="s">
        <v>413</v>
      </c>
      <c r="F251" s="6" t="s">
        <v>414</v>
      </c>
      <c r="G251" s="6" t="s">
        <v>414</v>
      </c>
      <c r="H251" s="6"/>
      <c r="I251" s="6" t="s">
        <v>684</v>
      </c>
      <c r="J251" s="6"/>
      <c r="K251" s="6" t="s">
        <v>184</v>
      </c>
      <c r="L251" s="6" t="s">
        <v>685</v>
      </c>
      <c r="M251" s="6"/>
      <c r="N251" s="6"/>
      <c r="O251" s="6" t="s">
        <v>420</v>
      </c>
      <c r="P251" s="6" t="s">
        <v>1190</v>
      </c>
      <c r="Q251" s="8" t="s">
        <v>687</v>
      </c>
    </row>
    <row r="252" customFormat="false" ht="22.35" hidden="false" customHeight="false" outlineLevel="0" collapsed="false">
      <c r="A252" s="6" t="s">
        <v>1191</v>
      </c>
      <c r="B252" s="6" t="s">
        <v>1192</v>
      </c>
      <c r="C252" s="6" t="s">
        <v>411</v>
      </c>
      <c r="D252" s="6" t="s">
        <v>695</v>
      </c>
      <c r="E252" s="6" t="s">
        <v>413</v>
      </c>
      <c r="F252" s="6" t="s">
        <v>414</v>
      </c>
      <c r="G252" s="6" t="s">
        <v>414</v>
      </c>
      <c r="H252" s="6"/>
      <c r="I252" s="6" t="s">
        <v>684</v>
      </c>
      <c r="J252" s="6"/>
      <c r="K252" s="6" t="s">
        <v>184</v>
      </c>
      <c r="L252" s="6" t="s">
        <v>685</v>
      </c>
      <c r="M252" s="6"/>
      <c r="N252" s="6"/>
      <c r="O252" s="6" t="s">
        <v>420</v>
      </c>
      <c r="P252" s="6" t="s">
        <v>1193</v>
      </c>
      <c r="Q252" s="8" t="s">
        <v>687</v>
      </c>
    </row>
    <row r="253" customFormat="false" ht="22.35" hidden="false" customHeight="false" outlineLevel="0" collapsed="false">
      <c r="A253" s="6" t="s">
        <v>1194</v>
      </c>
      <c r="B253" s="6" t="s">
        <v>1195</v>
      </c>
      <c r="C253" s="6" t="s">
        <v>411</v>
      </c>
      <c r="D253" s="6" t="s">
        <v>695</v>
      </c>
      <c r="E253" s="6" t="s">
        <v>413</v>
      </c>
      <c r="F253" s="6" t="s">
        <v>414</v>
      </c>
      <c r="G253" s="6" t="s">
        <v>414</v>
      </c>
      <c r="H253" s="6"/>
      <c r="I253" s="6" t="s">
        <v>684</v>
      </c>
      <c r="J253" s="6"/>
      <c r="K253" s="6" t="s">
        <v>184</v>
      </c>
      <c r="L253" s="6" t="s">
        <v>685</v>
      </c>
      <c r="M253" s="6"/>
      <c r="N253" s="6"/>
      <c r="O253" s="6" t="s">
        <v>420</v>
      </c>
      <c r="P253" s="6" t="s">
        <v>1196</v>
      </c>
      <c r="Q253" s="8" t="s">
        <v>687</v>
      </c>
    </row>
    <row r="254" customFormat="false" ht="22.35" hidden="false" customHeight="false" outlineLevel="0" collapsed="false">
      <c r="A254" s="6" t="s">
        <v>1197</v>
      </c>
      <c r="B254" s="6" t="s">
        <v>1198</v>
      </c>
      <c r="C254" s="6" t="s">
        <v>411</v>
      </c>
      <c r="D254" s="6" t="s">
        <v>695</v>
      </c>
      <c r="E254" s="6" t="s">
        <v>413</v>
      </c>
      <c r="F254" s="6" t="s">
        <v>414</v>
      </c>
      <c r="G254" s="6" t="s">
        <v>414</v>
      </c>
      <c r="H254" s="6"/>
      <c r="I254" s="6" t="s">
        <v>684</v>
      </c>
      <c r="J254" s="6"/>
      <c r="K254" s="6" t="s">
        <v>184</v>
      </c>
      <c r="L254" s="6" t="s">
        <v>685</v>
      </c>
      <c r="M254" s="6"/>
      <c r="N254" s="6"/>
      <c r="O254" s="6" t="s">
        <v>420</v>
      </c>
      <c r="P254" s="6" t="s">
        <v>1199</v>
      </c>
      <c r="Q254" s="8" t="s">
        <v>687</v>
      </c>
    </row>
    <row r="255" customFormat="false" ht="22.35" hidden="false" customHeight="false" outlineLevel="0" collapsed="false">
      <c r="A255" s="6" t="s">
        <v>1200</v>
      </c>
      <c r="B255" s="6" t="s">
        <v>1201</v>
      </c>
      <c r="C255" s="6" t="s">
        <v>411</v>
      </c>
      <c r="D255" s="6" t="s">
        <v>695</v>
      </c>
      <c r="E255" s="6" t="s">
        <v>413</v>
      </c>
      <c r="F255" s="6" t="s">
        <v>414</v>
      </c>
      <c r="G255" s="6" t="s">
        <v>414</v>
      </c>
      <c r="H255" s="6"/>
      <c r="I255" s="6" t="s">
        <v>684</v>
      </c>
      <c r="J255" s="6"/>
      <c r="K255" s="6" t="s">
        <v>184</v>
      </c>
      <c r="L255" s="6" t="s">
        <v>685</v>
      </c>
      <c r="M255" s="6"/>
      <c r="N255" s="6"/>
      <c r="O255" s="6" t="s">
        <v>420</v>
      </c>
      <c r="P255" s="6" t="s">
        <v>1202</v>
      </c>
      <c r="Q255" s="8" t="s">
        <v>687</v>
      </c>
    </row>
    <row r="256" customFormat="false" ht="22.35" hidden="false" customHeight="false" outlineLevel="0" collapsed="false">
      <c r="A256" s="6" t="s">
        <v>1203</v>
      </c>
      <c r="B256" s="6" t="s">
        <v>1204</v>
      </c>
      <c r="C256" s="6" t="s">
        <v>411</v>
      </c>
      <c r="D256" s="6" t="s">
        <v>695</v>
      </c>
      <c r="E256" s="6" t="s">
        <v>413</v>
      </c>
      <c r="F256" s="6" t="s">
        <v>463</v>
      </c>
      <c r="G256" s="6" t="s">
        <v>463</v>
      </c>
      <c r="H256" s="6"/>
      <c r="I256" s="6" t="s">
        <v>684</v>
      </c>
      <c r="J256" s="6"/>
      <c r="K256" s="6" t="s">
        <v>184</v>
      </c>
      <c r="L256" s="6" t="s">
        <v>685</v>
      </c>
      <c r="M256" s="6"/>
      <c r="N256" s="6"/>
      <c r="O256" s="6" t="s">
        <v>420</v>
      </c>
      <c r="P256" s="6" t="s">
        <v>1205</v>
      </c>
      <c r="Q256" s="8" t="s">
        <v>687</v>
      </c>
    </row>
    <row r="257" customFormat="false" ht="22.35" hidden="false" customHeight="false" outlineLevel="0" collapsed="false">
      <c r="A257" s="6" t="s">
        <v>1206</v>
      </c>
      <c r="B257" s="6" t="s">
        <v>1207</v>
      </c>
      <c r="C257" s="6" t="s">
        <v>411</v>
      </c>
      <c r="D257" s="6" t="s">
        <v>695</v>
      </c>
      <c r="E257" s="6" t="s">
        <v>413</v>
      </c>
      <c r="F257" s="6" t="s">
        <v>463</v>
      </c>
      <c r="G257" s="6" t="s">
        <v>463</v>
      </c>
      <c r="H257" s="6"/>
      <c r="I257" s="6" t="s">
        <v>684</v>
      </c>
      <c r="J257" s="6"/>
      <c r="K257" s="6" t="s">
        <v>184</v>
      </c>
      <c r="L257" s="6" t="s">
        <v>685</v>
      </c>
      <c r="M257" s="6"/>
      <c r="N257" s="6"/>
      <c r="O257" s="6" t="s">
        <v>420</v>
      </c>
      <c r="P257" s="6" t="s">
        <v>1208</v>
      </c>
      <c r="Q257" s="8" t="s">
        <v>687</v>
      </c>
    </row>
    <row r="258" customFormat="false" ht="22.35" hidden="false" customHeight="false" outlineLevel="0" collapsed="false">
      <c r="A258" s="6" t="s">
        <v>1209</v>
      </c>
      <c r="B258" s="6" t="s">
        <v>1210</v>
      </c>
      <c r="C258" s="6" t="s">
        <v>411</v>
      </c>
      <c r="D258" s="6" t="s">
        <v>695</v>
      </c>
      <c r="E258" s="6" t="s">
        <v>413</v>
      </c>
      <c r="F258" s="6" t="s">
        <v>414</v>
      </c>
      <c r="G258" s="6" t="s">
        <v>414</v>
      </c>
      <c r="H258" s="6"/>
      <c r="I258" s="6" t="s">
        <v>684</v>
      </c>
      <c r="J258" s="6"/>
      <c r="K258" s="6" t="s">
        <v>184</v>
      </c>
      <c r="L258" s="6" t="s">
        <v>685</v>
      </c>
      <c r="M258" s="6"/>
      <c r="N258" s="6"/>
      <c r="O258" s="6" t="s">
        <v>420</v>
      </c>
      <c r="P258" s="6" t="s">
        <v>1211</v>
      </c>
      <c r="Q258" s="8" t="s">
        <v>687</v>
      </c>
    </row>
    <row r="259" customFormat="false" ht="22.35" hidden="false" customHeight="false" outlineLevel="0" collapsed="false">
      <c r="A259" s="6" t="s">
        <v>1212</v>
      </c>
      <c r="B259" s="6" t="s">
        <v>1213</v>
      </c>
      <c r="C259" s="6" t="s">
        <v>411</v>
      </c>
      <c r="D259" s="6" t="s">
        <v>695</v>
      </c>
      <c r="E259" s="6" t="s">
        <v>413</v>
      </c>
      <c r="F259" s="6" t="s">
        <v>463</v>
      </c>
      <c r="G259" s="6" t="s">
        <v>463</v>
      </c>
      <c r="H259" s="6"/>
      <c r="I259" s="6" t="s">
        <v>684</v>
      </c>
      <c r="J259" s="6"/>
      <c r="K259" s="6" t="s">
        <v>184</v>
      </c>
      <c r="L259" s="6" t="s">
        <v>685</v>
      </c>
      <c r="M259" s="6"/>
      <c r="N259" s="6"/>
      <c r="O259" s="6" t="s">
        <v>420</v>
      </c>
      <c r="P259" s="6" t="s">
        <v>1214</v>
      </c>
      <c r="Q259" s="8" t="s">
        <v>687</v>
      </c>
    </row>
    <row r="260" customFormat="false" ht="22.35" hidden="false" customHeight="false" outlineLevel="0" collapsed="false">
      <c r="A260" s="6" t="s">
        <v>1215</v>
      </c>
      <c r="B260" s="6" t="s">
        <v>1216</v>
      </c>
      <c r="C260" s="6" t="s">
        <v>411</v>
      </c>
      <c r="D260" s="6" t="s">
        <v>695</v>
      </c>
      <c r="E260" s="6" t="s">
        <v>413</v>
      </c>
      <c r="F260" s="6" t="s">
        <v>414</v>
      </c>
      <c r="G260" s="6" t="s">
        <v>414</v>
      </c>
      <c r="H260" s="6"/>
      <c r="I260" s="6" t="s">
        <v>684</v>
      </c>
      <c r="J260" s="6"/>
      <c r="K260" s="6" t="s">
        <v>184</v>
      </c>
      <c r="L260" s="6" t="s">
        <v>685</v>
      </c>
      <c r="M260" s="6"/>
      <c r="N260" s="6"/>
      <c r="O260" s="6" t="s">
        <v>420</v>
      </c>
      <c r="P260" s="6" t="s">
        <v>1217</v>
      </c>
      <c r="Q260" s="8" t="s">
        <v>687</v>
      </c>
    </row>
    <row r="261" customFormat="false" ht="22.35" hidden="false" customHeight="false" outlineLevel="0" collapsed="false">
      <c r="A261" s="6" t="s">
        <v>1218</v>
      </c>
      <c r="B261" s="6" t="s">
        <v>1219</v>
      </c>
      <c r="C261" s="6" t="s">
        <v>411</v>
      </c>
      <c r="D261" s="6" t="s">
        <v>695</v>
      </c>
      <c r="E261" s="6" t="s">
        <v>413</v>
      </c>
      <c r="F261" s="6" t="s">
        <v>414</v>
      </c>
      <c r="G261" s="6" t="s">
        <v>414</v>
      </c>
      <c r="H261" s="6"/>
      <c r="I261" s="6" t="s">
        <v>684</v>
      </c>
      <c r="J261" s="6"/>
      <c r="K261" s="6" t="s">
        <v>184</v>
      </c>
      <c r="L261" s="6" t="s">
        <v>685</v>
      </c>
      <c r="M261" s="6"/>
      <c r="N261" s="6"/>
      <c r="O261" s="6" t="s">
        <v>420</v>
      </c>
      <c r="P261" s="6" t="s">
        <v>1220</v>
      </c>
      <c r="Q261" s="8" t="s">
        <v>687</v>
      </c>
    </row>
    <row r="262" customFormat="false" ht="22.35" hidden="false" customHeight="false" outlineLevel="0" collapsed="false">
      <c r="A262" s="6" t="s">
        <v>1221</v>
      </c>
      <c r="B262" s="6" t="s">
        <v>1222</v>
      </c>
      <c r="C262" s="6" t="s">
        <v>411</v>
      </c>
      <c r="D262" s="6" t="s">
        <v>444</v>
      </c>
      <c r="E262" s="6" t="s">
        <v>413</v>
      </c>
      <c r="F262" s="6" t="s">
        <v>393</v>
      </c>
      <c r="G262" s="6" t="s">
        <v>393</v>
      </c>
      <c r="H262" s="6"/>
      <c r="I262" s="6" t="s">
        <v>684</v>
      </c>
      <c r="J262" s="6"/>
      <c r="K262" s="6" t="s">
        <v>184</v>
      </c>
      <c r="L262" s="6" t="s">
        <v>685</v>
      </c>
      <c r="M262" s="6"/>
      <c r="N262" s="6"/>
      <c r="O262" s="6" t="s">
        <v>451</v>
      </c>
      <c r="P262" s="6" t="s">
        <v>1223</v>
      </c>
      <c r="Q262" s="8" t="s">
        <v>687</v>
      </c>
    </row>
    <row r="263" customFormat="false" ht="22.35" hidden="false" customHeight="false" outlineLevel="0" collapsed="false">
      <c r="A263" s="6" t="s">
        <v>1224</v>
      </c>
      <c r="B263" s="6" t="s">
        <v>1225</v>
      </c>
      <c r="C263" s="6" t="s">
        <v>411</v>
      </c>
      <c r="D263" s="6" t="s">
        <v>695</v>
      </c>
      <c r="E263" s="6" t="s">
        <v>413</v>
      </c>
      <c r="F263" s="6" t="s">
        <v>414</v>
      </c>
      <c r="G263" s="6" t="s">
        <v>414</v>
      </c>
      <c r="H263" s="6"/>
      <c r="I263" s="6" t="s">
        <v>684</v>
      </c>
      <c r="J263" s="6"/>
      <c r="K263" s="6" t="s">
        <v>184</v>
      </c>
      <c r="L263" s="6" t="s">
        <v>685</v>
      </c>
      <c r="M263" s="6"/>
      <c r="N263" s="6"/>
      <c r="O263" s="6" t="s">
        <v>420</v>
      </c>
      <c r="P263" s="6" t="s">
        <v>1226</v>
      </c>
      <c r="Q263" s="8" t="s">
        <v>687</v>
      </c>
    </row>
    <row r="264" customFormat="false" ht="22.35" hidden="false" customHeight="false" outlineLevel="0" collapsed="false">
      <c r="A264" s="6" t="s">
        <v>1227</v>
      </c>
      <c r="B264" s="6" t="s">
        <v>1228</v>
      </c>
      <c r="C264" s="6" t="s">
        <v>411</v>
      </c>
      <c r="D264" s="6" t="s">
        <v>695</v>
      </c>
      <c r="E264" s="6" t="s">
        <v>413</v>
      </c>
      <c r="F264" s="6" t="s">
        <v>414</v>
      </c>
      <c r="G264" s="6" t="s">
        <v>414</v>
      </c>
      <c r="H264" s="6"/>
      <c r="I264" s="6" t="s">
        <v>684</v>
      </c>
      <c r="J264" s="6"/>
      <c r="K264" s="6" t="s">
        <v>184</v>
      </c>
      <c r="L264" s="6" t="s">
        <v>685</v>
      </c>
      <c r="M264" s="6"/>
      <c r="N264" s="6"/>
      <c r="O264" s="6" t="s">
        <v>420</v>
      </c>
      <c r="P264" s="6" t="s">
        <v>1229</v>
      </c>
      <c r="Q264" s="8" t="s">
        <v>687</v>
      </c>
    </row>
    <row r="265" customFormat="false" ht="22.35" hidden="false" customHeight="false" outlineLevel="0" collapsed="false">
      <c r="A265" s="6" t="s">
        <v>1230</v>
      </c>
      <c r="B265" s="6" t="s">
        <v>1231</v>
      </c>
      <c r="C265" s="6" t="s">
        <v>411</v>
      </c>
      <c r="D265" s="6" t="s">
        <v>695</v>
      </c>
      <c r="E265" s="6" t="s">
        <v>413</v>
      </c>
      <c r="F265" s="6" t="s">
        <v>414</v>
      </c>
      <c r="G265" s="6" t="s">
        <v>414</v>
      </c>
      <c r="H265" s="6"/>
      <c r="I265" s="6" t="s">
        <v>684</v>
      </c>
      <c r="J265" s="6"/>
      <c r="K265" s="6" t="s">
        <v>184</v>
      </c>
      <c r="L265" s="6" t="s">
        <v>685</v>
      </c>
      <c r="M265" s="6"/>
      <c r="N265" s="6"/>
      <c r="O265" s="6" t="s">
        <v>420</v>
      </c>
      <c r="P265" s="6" t="s">
        <v>1232</v>
      </c>
      <c r="Q265" s="8" t="s">
        <v>687</v>
      </c>
    </row>
    <row r="266" customFormat="false" ht="22.35" hidden="false" customHeight="false" outlineLevel="0" collapsed="false">
      <c r="A266" s="6" t="s">
        <v>1233</v>
      </c>
      <c r="B266" s="6" t="s">
        <v>1234</v>
      </c>
      <c r="C266" s="6" t="s">
        <v>411</v>
      </c>
      <c r="D266" s="6" t="s">
        <v>444</v>
      </c>
      <c r="E266" s="6" t="s">
        <v>413</v>
      </c>
      <c r="F266" s="6" t="s">
        <v>393</v>
      </c>
      <c r="G266" s="6" t="s">
        <v>393</v>
      </c>
      <c r="H266" s="6"/>
      <c r="I266" s="6" t="s">
        <v>684</v>
      </c>
      <c r="J266" s="6"/>
      <c r="K266" s="6" t="s">
        <v>184</v>
      </c>
      <c r="L266" s="6" t="s">
        <v>685</v>
      </c>
      <c r="M266" s="6"/>
      <c r="N266" s="6"/>
      <c r="O266" s="6" t="s">
        <v>451</v>
      </c>
      <c r="P266" s="6" t="s">
        <v>1235</v>
      </c>
      <c r="Q266" s="8" t="s">
        <v>687</v>
      </c>
    </row>
    <row r="267" customFormat="false" ht="22.35" hidden="false" customHeight="false" outlineLevel="0" collapsed="false">
      <c r="A267" s="6" t="s">
        <v>1236</v>
      </c>
      <c r="B267" s="6" t="s">
        <v>1237</v>
      </c>
      <c r="C267" s="6" t="s">
        <v>411</v>
      </c>
      <c r="D267" s="6" t="s">
        <v>690</v>
      </c>
      <c r="E267" s="6" t="s">
        <v>413</v>
      </c>
      <c r="F267" s="6" t="s">
        <v>393</v>
      </c>
      <c r="G267" s="6" t="s">
        <v>393</v>
      </c>
      <c r="H267" s="6"/>
      <c r="I267" s="6" t="s">
        <v>684</v>
      </c>
      <c r="J267" s="6"/>
      <c r="K267" s="6" t="s">
        <v>184</v>
      </c>
      <c r="L267" s="6" t="s">
        <v>685</v>
      </c>
      <c r="M267" s="6"/>
      <c r="N267" s="6"/>
      <c r="O267" s="6" t="s">
        <v>310</v>
      </c>
      <c r="P267" s="6" t="s">
        <v>1238</v>
      </c>
      <c r="Q267" s="8" t="s">
        <v>687</v>
      </c>
    </row>
    <row r="268" customFormat="false" ht="22.35" hidden="false" customHeight="false" outlineLevel="0" collapsed="false">
      <c r="A268" s="6" t="s">
        <v>1239</v>
      </c>
      <c r="B268" s="6" t="s">
        <v>1240</v>
      </c>
      <c r="C268" s="6" t="s">
        <v>411</v>
      </c>
      <c r="D268" s="6" t="s">
        <v>690</v>
      </c>
      <c r="E268" s="6" t="s">
        <v>413</v>
      </c>
      <c r="F268" s="6" t="s">
        <v>659</v>
      </c>
      <c r="G268" s="6" t="s">
        <v>659</v>
      </c>
      <c r="H268" s="6"/>
      <c r="I268" s="6" t="s">
        <v>684</v>
      </c>
      <c r="J268" s="6"/>
      <c r="K268" s="6" t="s">
        <v>184</v>
      </c>
      <c r="L268" s="6" t="s">
        <v>685</v>
      </c>
      <c r="M268" s="6"/>
      <c r="N268" s="6"/>
      <c r="O268" s="6" t="s">
        <v>310</v>
      </c>
      <c r="P268" s="6" t="s">
        <v>1241</v>
      </c>
      <c r="Q268" s="8" t="s">
        <v>687</v>
      </c>
    </row>
    <row r="269" customFormat="false" ht="22.35" hidden="false" customHeight="false" outlineLevel="0" collapsed="false">
      <c r="A269" s="6" t="s">
        <v>1242</v>
      </c>
      <c r="B269" s="6" t="s">
        <v>1243</v>
      </c>
      <c r="C269" s="6" t="s">
        <v>411</v>
      </c>
      <c r="D269" s="6" t="s">
        <v>690</v>
      </c>
      <c r="E269" s="6" t="s">
        <v>413</v>
      </c>
      <c r="F269" s="6" t="s">
        <v>659</v>
      </c>
      <c r="G269" s="6" t="s">
        <v>659</v>
      </c>
      <c r="H269" s="6"/>
      <c r="I269" s="6" t="s">
        <v>684</v>
      </c>
      <c r="J269" s="6"/>
      <c r="K269" s="6" t="s">
        <v>184</v>
      </c>
      <c r="L269" s="6" t="s">
        <v>685</v>
      </c>
      <c r="M269" s="6"/>
      <c r="N269" s="6"/>
      <c r="O269" s="6" t="s">
        <v>310</v>
      </c>
      <c r="P269" s="6" t="s">
        <v>1244</v>
      </c>
      <c r="Q269" s="8" t="s">
        <v>687</v>
      </c>
    </row>
    <row r="270" customFormat="false" ht="22.35" hidden="false" customHeight="false" outlineLevel="0" collapsed="false">
      <c r="A270" s="6" t="s">
        <v>1245</v>
      </c>
      <c r="B270" s="6" t="s">
        <v>1246</v>
      </c>
      <c r="C270" s="6" t="s">
        <v>411</v>
      </c>
      <c r="D270" s="6" t="s">
        <v>444</v>
      </c>
      <c r="E270" s="6" t="s">
        <v>413</v>
      </c>
      <c r="F270" s="6" t="s">
        <v>393</v>
      </c>
      <c r="G270" s="6" t="s">
        <v>393</v>
      </c>
      <c r="H270" s="6"/>
      <c r="I270" s="6" t="s">
        <v>684</v>
      </c>
      <c r="J270" s="6"/>
      <c r="K270" s="6" t="s">
        <v>184</v>
      </c>
      <c r="L270" s="6" t="s">
        <v>685</v>
      </c>
      <c r="M270" s="6"/>
      <c r="N270" s="6"/>
      <c r="O270" s="6" t="s">
        <v>451</v>
      </c>
      <c r="P270" s="6" t="s">
        <v>1247</v>
      </c>
      <c r="Q270" s="8" t="s">
        <v>687</v>
      </c>
    </row>
    <row r="271" customFormat="false" ht="22.35" hidden="false" customHeight="false" outlineLevel="0" collapsed="false">
      <c r="A271" s="6" t="s">
        <v>1248</v>
      </c>
      <c r="B271" s="6" t="s">
        <v>1249</v>
      </c>
      <c r="C271" s="6" t="s">
        <v>411</v>
      </c>
      <c r="D271" s="6" t="s">
        <v>444</v>
      </c>
      <c r="E271" s="6" t="s">
        <v>413</v>
      </c>
      <c r="F271" s="6" t="s">
        <v>393</v>
      </c>
      <c r="G271" s="6" t="s">
        <v>393</v>
      </c>
      <c r="H271" s="6"/>
      <c r="I271" s="6" t="s">
        <v>684</v>
      </c>
      <c r="J271" s="6"/>
      <c r="K271" s="6" t="s">
        <v>184</v>
      </c>
      <c r="L271" s="6" t="s">
        <v>685</v>
      </c>
      <c r="M271" s="6"/>
      <c r="N271" s="6"/>
      <c r="O271" s="6" t="s">
        <v>451</v>
      </c>
      <c r="P271" s="6" t="s">
        <v>1250</v>
      </c>
      <c r="Q271" s="8" t="s">
        <v>687</v>
      </c>
    </row>
    <row r="272" customFormat="false" ht="22.35" hidden="false" customHeight="false" outlineLevel="0" collapsed="false">
      <c r="A272" s="6" t="s">
        <v>1251</v>
      </c>
      <c r="B272" s="6" t="s">
        <v>1252</v>
      </c>
      <c r="C272" s="6" t="s">
        <v>411</v>
      </c>
      <c r="D272" s="6" t="s">
        <v>690</v>
      </c>
      <c r="E272" s="6" t="s">
        <v>413</v>
      </c>
      <c r="F272" s="6" t="s">
        <v>607</v>
      </c>
      <c r="G272" s="6" t="s">
        <v>607</v>
      </c>
      <c r="H272" s="6"/>
      <c r="I272" s="6" t="s">
        <v>684</v>
      </c>
      <c r="J272" s="6"/>
      <c r="K272" s="6" t="s">
        <v>184</v>
      </c>
      <c r="L272" s="6" t="s">
        <v>685</v>
      </c>
      <c r="M272" s="6"/>
      <c r="N272" s="6"/>
      <c r="O272" s="6" t="s">
        <v>310</v>
      </c>
      <c r="P272" s="6" t="s">
        <v>1253</v>
      </c>
      <c r="Q272" s="8" t="s">
        <v>687</v>
      </c>
    </row>
    <row r="273" customFormat="false" ht="22.35" hidden="false" customHeight="false" outlineLevel="0" collapsed="false">
      <c r="A273" s="6" t="s">
        <v>1254</v>
      </c>
      <c r="B273" s="6" t="s">
        <v>1255</v>
      </c>
      <c r="C273" s="6" t="s">
        <v>411</v>
      </c>
      <c r="D273" s="6" t="s">
        <v>690</v>
      </c>
      <c r="E273" s="6" t="s">
        <v>413</v>
      </c>
      <c r="F273" s="6" t="s">
        <v>562</v>
      </c>
      <c r="G273" s="6" t="s">
        <v>562</v>
      </c>
      <c r="H273" s="6"/>
      <c r="I273" s="6" t="s">
        <v>684</v>
      </c>
      <c r="J273" s="6"/>
      <c r="K273" s="6" t="s">
        <v>184</v>
      </c>
      <c r="L273" s="6" t="s">
        <v>685</v>
      </c>
      <c r="M273" s="6"/>
      <c r="N273" s="6"/>
      <c r="O273" s="6" t="s">
        <v>310</v>
      </c>
      <c r="P273" s="6" t="s">
        <v>1256</v>
      </c>
      <c r="Q273" s="8" t="s">
        <v>687</v>
      </c>
    </row>
    <row r="274" customFormat="false" ht="22.35" hidden="false" customHeight="false" outlineLevel="0" collapsed="false">
      <c r="A274" s="6" t="s">
        <v>1257</v>
      </c>
      <c r="B274" s="6" t="s">
        <v>1258</v>
      </c>
      <c r="C274" s="6" t="s">
        <v>411</v>
      </c>
      <c r="D274" s="6" t="s">
        <v>578</v>
      </c>
      <c r="E274" s="6" t="s">
        <v>413</v>
      </c>
      <c r="F274" s="6" t="s">
        <v>210</v>
      </c>
      <c r="G274" s="6" t="s">
        <v>210</v>
      </c>
      <c r="H274" s="6"/>
      <c r="I274" s="6" t="s">
        <v>684</v>
      </c>
      <c r="J274" s="6"/>
      <c r="K274" s="6" t="s">
        <v>184</v>
      </c>
      <c r="L274" s="6" t="s">
        <v>685</v>
      </c>
      <c r="M274" s="6"/>
      <c r="N274" s="6"/>
      <c r="O274" s="6" t="s">
        <v>206</v>
      </c>
      <c r="P274" s="6" t="s">
        <v>1259</v>
      </c>
      <c r="Q274" s="8" t="s">
        <v>687</v>
      </c>
    </row>
    <row r="275" customFormat="false" ht="22.35" hidden="false" customHeight="false" outlineLevel="0" collapsed="false">
      <c r="A275" s="6" t="s">
        <v>1260</v>
      </c>
      <c r="B275" s="6" t="s">
        <v>1261</v>
      </c>
      <c r="C275" s="6" t="s">
        <v>411</v>
      </c>
      <c r="D275" s="6" t="s">
        <v>690</v>
      </c>
      <c r="E275" s="6" t="s">
        <v>413</v>
      </c>
      <c r="F275" s="6" t="s">
        <v>562</v>
      </c>
      <c r="G275" s="6" t="s">
        <v>562</v>
      </c>
      <c r="H275" s="6"/>
      <c r="I275" s="6" t="s">
        <v>684</v>
      </c>
      <c r="J275" s="6"/>
      <c r="K275" s="6" t="s">
        <v>184</v>
      </c>
      <c r="L275" s="6" t="s">
        <v>685</v>
      </c>
      <c r="M275" s="6"/>
      <c r="N275" s="6"/>
      <c r="O275" s="6" t="s">
        <v>310</v>
      </c>
      <c r="P275" s="6" t="s">
        <v>1262</v>
      </c>
      <c r="Q275" s="8" t="s">
        <v>687</v>
      </c>
    </row>
    <row r="276" customFormat="false" ht="22.35" hidden="false" customHeight="false" outlineLevel="0" collapsed="false">
      <c r="A276" s="6" t="s">
        <v>1263</v>
      </c>
      <c r="B276" s="6" t="s">
        <v>1264</v>
      </c>
      <c r="C276" s="6" t="s">
        <v>411</v>
      </c>
      <c r="D276" s="6" t="s">
        <v>690</v>
      </c>
      <c r="E276" s="6" t="s">
        <v>413</v>
      </c>
      <c r="F276" s="6" t="s">
        <v>562</v>
      </c>
      <c r="G276" s="6" t="s">
        <v>562</v>
      </c>
      <c r="H276" s="6"/>
      <c r="I276" s="6" t="s">
        <v>684</v>
      </c>
      <c r="J276" s="6"/>
      <c r="K276" s="6" t="s">
        <v>184</v>
      </c>
      <c r="L276" s="6" t="s">
        <v>685</v>
      </c>
      <c r="M276" s="6"/>
      <c r="N276" s="6"/>
      <c r="O276" s="6" t="s">
        <v>310</v>
      </c>
      <c r="P276" s="6" t="s">
        <v>1265</v>
      </c>
      <c r="Q276" s="8" t="s">
        <v>687</v>
      </c>
    </row>
    <row r="277" customFormat="false" ht="22.35" hidden="false" customHeight="false" outlineLevel="0" collapsed="false">
      <c r="A277" s="6" t="s">
        <v>1266</v>
      </c>
      <c r="B277" s="6" t="s">
        <v>1267</v>
      </c>
      <c r="C277" s="6" t="s">
        <v>411</v>
      </c>
      <c r="D277" s="6" t="s">
        <v>690</v>
      </c>
      <c r="E277" s="6" t="s">
        <v>413</v>
      </c>
      <c r="F277" s="6" t="s">
        <v>562</v>
      </c>
      <c r="G277" s="6" t="s">
        <v>562</v>
      </c>
      <c r="H277" s="6"/>
      <c r="I277" s="6" t="s">
        <v>684</v>
      </c>
      <c r="J277" s="6"/>
      <c r="K277" s="6" t="s">
        <v>184</v>
      </c>
      <c r="L277" s="6" t="s">
        <v>685</v>
      </c>
      <c r="M277" s="6"/>
      <c r="N277" s="6"/>
      <c r="O277" s="6" t="s">
        <v>310</v>
      </c>
      <c r="P277" s="6" t="s">
        <v>1268</v>
      </c>
      <c r="Q277" s="8" t="s">
        <v>687</v>
      </c>
    </row>
    <row r="278" customFormat="false" ht="22.35" hidden="false" customHeight="false" outlineLevel="0" collapsed="false">
      <c r="A278" s="6" t="s">
        <v>1269</v>
      </c>
      <c r="B278" s="6" t="s">
        <v>1270</v>
      </c>
      <c r="C278" s="6" t="s">
        <v>411</v>
      </c>
      <c r="D278" s="6" t="s">
        <v>690</v>
      </c>
      <c r="E278" s="6" t="s">
        <v>413</v>
      </c>
      <c r="F278" s="6" t="s">
        <v>607</v>
      </c>
      <c r="G278" s="6" t="s">
        <v>607</v>
      </c>
      <c r="H278" s="6"/>
      <c r="I278" s="6" t="s">
        <v>684</v>
      </c>
      <c r="J278" s="6"/>
      <c r="K278" s="6" t="s">
        <v>184</v>
      </c>
      <c r="L278" s="6" t="s">
        <v>685</v>
      </c>
      <c r="M278" s="6"/>
      <c r="N278" s="6"/>
      <c r="O278" s="6" t="s">
        <v>310</v>
      </c>
      <c r="P278" s="6" t="s">
        <v>1271</v>
      </c>
      <c r="Q278" s="8" t="s">
        <v>687</v>
      </c>
    </row>
    <row r="279" customFormat="false" ht="22.35" hidden="false" customHeight="false" outlineLevel="0" collapsed="false">
      <c r="A279" s="6" t="s">
        <v>1272</v>
      </c>
      <c r="B279" s="6" t="s">
        <v>1273</v>
      </c>
      <c r="C279" s="6" t="s">
        <v>411</v>
      </c>
      <c r="D279" s="6" t="s">
        <v>690</v>
      </c>
      <c r="E279" s="6" t="s">
        <v>413</v>
      </c>
      <c r="F279" s="6" t="s">
        <v>607</v>
      </c>
      <c r="G279" s="6" t="s">
        <v>607</v>
      </c>
      <c r="H279" s="6"/>
      <c r="I279" s="6" t="s">
        <v>684</v>
      </c>
      <c r="J279" s="6"/>
      <c r="K279" s="6" t="s">
        <v>184</v>
      </c>
      <c r="L279" s="6" t="s">
        <v>685</v>
      </c>
      <c r="M279" s="6"/>
      <c r="N279" s="6"/>
      <c r="O279" s="6" t="s">
        <v>310</v>
      </c>
      <c r="P279" s="6" t="s">
        <v>1274</v>
      </c>
      <c r="Q279" s="8" t="s">
        <v>687</v>
      </c>
    </row>
    <row r="280" customFormat="false" ht="22.35" hidden="false" customHeight="false" outlineLevel="0" collapsed="false">
      <c r="A280" s="6" t="s">
        <v>1275</v>
      </c>
      <c r="B280" s="6" t="s">
        <v>1276</v>
      </c>
      <c r="C280" s="6" t="s">
        <v>411</v>
      </c>
      <c r="D280" s="6" t="s">
        <v>690</v>
      </c>
      <c r="E280" s="6" t="s">
        <v>413</v>
      </c>
      <c r="F280" s="6" t="s">
        <v>607</v>
      </c>
      <c r="G280" s="6" t="s">
        <v>607</v>
      </c>
      <c r="H280" s="6"/>
      <c r="I280" s="6" t="s">
        <v>684</v>
      </c>
      <c r="J280" s="6"/>
      <c r="K280" s="6" t="s">
        <v>184</v>
      </c>
      <c r="L280" s="6" t="s">
        <v>685</v>
      </c>
      <c r="M280" s="6"/>
      <c r="N280" s="6"/>
      <c r="O280" s="6" t="s">
        <v>310</v>
      </c>
      <c r="P280" s="6" t="s">
        <v>1277</v>
      </c>
      <c r="Q280" s="8" t="s">
        <v>687</v>
      </c>
    </row>
    <row r="281" customFormat="false" ht="22.35" hidden="false" customHeight="false" outlineLevel="0" collapsed="false">
      <c r="A281" s="6" t="s">
        <v>1278</v>
      </c>
      <c r="B281" s="6" t="s">
        <v>1279</v>
      </c>
      <c r="C281" s="6" t="s">
        <v>411</v>
      </c>
      <c r="D281" s="6" t="s">
        <v>690</v>
      </c>
      <c r="E281" s="6" t="s">
        <v>413</v>
      </c>
      <c r="F281" s="6" t="s">
        <v>607</v>
      </c>
      <c r="G281" s="6" t="s">
        <v>607</v>
      </c>
      <c r="H281" s="6"/>
      <c r="I281" s="6" t="s">
        <v>684</v>
      </c>
      <c r="J281" s="6"/>
      <c r="K281" s="6" t="s">
        <v>184</v>
      </c>
      <c r="L281" s="6" t="s">
        <v>685</v>
      </c>
      <c r="M281" s="6"/>
      <c r="N281" s="6"/>
      <c r="O281" s="6" t="s">
        <v>310</v>
      </c>
      <c r="P281" s="6" t="s">
        <v>1280</v>
      </c>
      <c r="Q281" s="8" t="s">
        <v>687</v>
      </c>
    </row>
    <row r="282" customFormat="false" ht="22.35" hidden="false" customHeight="false" outlineLevel="0" collapsed="false">
      <c r="A282" s="6" t="s">
        <v>1281</v>
      </c>
      <c r="B282" s="6" t="s">
        <v>1282</v>
      </c>
      <c r="C282" s="6" t="s">
        <v>411</v>
      </c>
      <c r="D282" s="6" t="s">
        <v>690</v>
      </c>
      <c r="E282" s="6" t="s">
        <v>413</v>
      </c>
      <c r="F282" s="6" t="s">
        <v>607</v>
      </c>
      <c r="G282" s="6" t="s">
        <v>607</v>
      </c>
      <c r="H282" s="6"/>
      <c r="I282" s="6" t="s">
        <v>684</v>
      </c>
      <c r="J282" s="6"/>
      <c r="K282" s="6" t="s">
        <v>184</v>
      </c>
      <c r="L282" s="6" t="s">
        <v>685</v>
      </c>
      <c r="M282" s="6"/>
      <c r="N282" s="6"/>
      <c r="O282" s="6" t="s">
        <v>310</v>
      </c>
      <c r="P282" s="6" t="s">
        <v>1283</v>
      </c>
      <c r="Q282" s="8" t="s">
        <v>687</v>
      </c>
    </row>
    <row r="283" customFormat="false" ht="22.35" hidden="false" customHeight="false" outlineLevel="0" collapsed="false">
      <c r="A283" s="6" t="s">
        <v>1284</v>
      </c>
      <c r="B283" s="6" t="s">
        <v>1285</v>
      </c>
      <c r="C283" s="6" t="s">
        <v>411</v>
      </c>
      <c r="D283" s="6" t="s">
        <v>690</v>
      </c>
      <c r="E283" s="6" t="s">
        <v>413</v>
      </c>
      <c r="F283" s="6" t="s">
        <v>607</v>
      </c>
      <c r="G283" s="6" t="s">
        <v>607</v>
      </c>
      <c r="H283" s="6"/>
      <c r="I283" s="6" t="s">
        <v>684</v>
      </c>
      <c r="J283" s="6"/>
      <c r="K283" s="6" t="s">
        <v>184</v>
      </c>
      <c r="L283" s="6" t="s">
        <v>685</v>
      </c>
      <c r="M283" s="6"/>
      <c r="N283" s="6"/>
      <c r="O283" s="6" t="s">
        <v>310</v>
      </c>
      <c r="P283" s="6" t="s">
        <v>1286</v>
      </c>
      <c r="Q283" s="8" t="s">
        <v>687</v>
      </c>
    </row>
    <row r="284" customFormat="false" ht="22.35" hidden="false" customHeight="false" outlineLevel="0" collapsed="false">
      <c r="A284" s="6" t="s">
        <v>1287</v>
      </c>
      <c r="B284" s="6" t="s">
        <v>1288</v>
      </c>
      <c r="C284" s="6" t="s">
        <v>411</v>
      </c>
      <c r="D284" s="6" t="s">
        <v>690</v>
      </c>
      <c r="E284" s="6" t="s">
        <v>413</v>
      </c>
      <c r="F284" s="6" t="s">
        <v>562</v>
      </c>
      <c r="G284" s="6" t="s">
        <v>562</v>
      </c>
      <c r="H284" s="6"/>
      <c r="I284" s="6" t="s">
        <v>684</v>
      </c>
      <c r="J284" s="6"/>
      <c r="K284" s="6" t="s">
        <v>184</v>
      </c>
      <c r="L284" s="6" t="s">
        <v>685</v>
      </c>
      <c r="M284" s="6"/>
      <c r="N284" s="6"/>
      <c r="O284" s="6" t="s">
        <v>310</v>
      </c>
      <c r="P284" s="6" t="s">
        <v>1289</v>
      </c>
      <c r="Q284" s="8" t="s">
        <v>687</v>
      </c>
    </row>
    <row r="285" customFormat="false" ht="22.35" hidden="false" customHeight="false" outlineLevel="0" collapsed="false">
      <c r="A285" s="6" t="s">
        <v>1290</v>
      </c>
      <c r="B285" s="6" t="s">
        <v>1291</v>
      </c>
      <c r="C285" s="6" t="s">
        <v>411</v>
      </c>
      <c r="D285" s="6" t="s">
        <v>444</v>
      </c>
      <c r="E285" s="6" t="s">
        <v>413</v>
      </c>
      <c r="F285" s="6" t="s">
        <v>393</v>
      </c>
      <c r="G285" s="6" t="s">
        <v>393</v>
      </c>
      <c r="H285" s="6"/>
      <c r="I285" s="6" t="s">
        <v>684</v>
      </c>
      <c r="J285" s="6"/>
      <c r="K285" s="6" t="s">
        <v>184</v>
      </c>
      <c r="L285" s="6" t="s">
        <v>685</v>
      </c>
      <c r="M285" s="6"/>
      <c r="N285" s="6"/>
      <c r="O285" s="6" t="s">
        <v>451</v>
      </c>
      <c r="P285" s="6" t="s">
        <v>1292</v>
      </c>
      <c r="Q285" s="8" t="s">
        <v>687</v>
      </c>
    </row>
    <row r="286" customFormat="false" ht="22.35" hidden="false" customHeight="false" outlineLevel="0" collapsed="false">
      <c r="A286" s="6" t="s">
        <v>1293</v>
      </c>
      <c r="B286" s="6" t="s">
        <v>1294</v>
      </c>
      <c r="C286" s="6" t="s">
        <v>411</v>
      </c>
      <c r="D286" s="6" t="s">
        <v>695</v>
      </c>
      <c r="E286" s="6" t="s">
        <v>413</v>
      </c>
      <c r="F286" s="6" t="s">
        <v>463</v>
      </c>
      <c r="G286" s="6" t="s">
        <v>463</v>
      </c>
      <c r="H286" s="6"/>
      <c r="I286" s="6" t="s">
        <v>684</v>
      </c>
      <c r="J286" s="6"/>
      <c r="K286" s="6" t="s">
        <v>184</v>
      </c>
      <c r="L286" s="6" t="s">
        <v>685</v>
      </c>
      <c r="M286" s="6"/>
      <c r="N286" s="6"/>
      <c r="O286" s="6" t="s">
        <v>420</v>
      </c>
      <c r="P286" s="6" t="s">
        <v>1295</v>
      </c>
      <c r="Q286" s="8" t="s">
        <v>687</v>
      </c>
    </row>
    <row r="287" customFormat="false" ht="22.35" hidden="false" customHeight="false" outlineLevel="0" collapsed="false">
      <c r="A287" s="6" t="s">
        <v>1296</v>
      </c>
      <c r="B287" s="6" t="s">
        <v>1297</v>
      </c>
      <c r="C287" s="6" t="s">
        <v>411</v>
      </c>
      <c r="D287" s="6" t="s">
        <v>695</v>
      </c>
      <c r="E287" s="6" t="s">
        <v>413</v>
      </c>
      <c r="F287" s="6" t="s">
        <v>463</v>
      </c>
      <c r="G287" s="6" t="s">
        <v>463</v>
      </c>
      <c r="H287" s="6"/>
      <c r="I287" s="6" t="s">
        <v>684</v>
      </c>
      <c r="J287" s="6"/>
      <c r="K287" s="6" t="s">
        <v>184</v>
      </c>
      <c r="L287" s="6" t="s">
        <v>685</v>
      </c>
      <c r="M287" s="6"/>
      <c r="N287" s="6"/>
      <c r="O287" s="6" t="s">
        <v>420</v>
      </c>
      <c r="P287" s="6" t="s">
        <v>1298</v>
      </c>
      <c r="Q287" s="8" t="s">
        <v>687</v>
      </c>
    </row>
    <row r="288" customFormat="false" ht="22.35" hidden="false" customHeight="false" outlineLevel="0" collapsed="false">
      <c r="A288" s="6" t="s">
        <v>1299</v>
      </c>
      <c r="B288" s="6" t="s">
        <v>1300</v>
      </c>
      <c r="C288" s="6" t="s">
        <v>411</v>
      </c>
      <c r="D288" s="6" t="s">
        <v>695</v>
      </c>
      <c r="E288" s="6" t="s">
        <v>413</v>
      </c>
      <c r="F288" s="6" t="s">
        <v>414</v>
      </c>
      <c r="G288" s="6" t="s">
        <v>414</v>
      </c>
      <c r="H288" s="6"/>
      <c r="I288" s="6" t="s">
        <v>684</v>
      </c>
      <c r="J288" s="6"/>
      <c r="K288" s="6" t="s">
        <v>184</v>
      </c>
      <c r="L288" s="6" t="s">
        <v>685</v>
      </c>
      <c r="M288" s="6"/>
      <c r="N288" s="6"/>
      <c r="O288" s="6" t="s">
        <v>420</v>
      </c>
      <c r="P288" s="6" t="s">
        <v>1301</v>
      </c>
      <c r="Q288" s="8" t="s">
        <v>687</v>
      </c>
    </row>
    <row r="289" customFormat="false" ht="22.35" hidden="false" customHeight="false" outlineLevel="0" collapsed="false">
      <c r="A289" s="6" t="s">
        <v>1302</v>
      </c>
      <c r="B289" s="6" t="s">
        <v>1303</v>
      </c>
      <c r="C289" s="6" t="s">
        <v>411</v>
      </c>
      <c r="D289" s="6" t="s">
        <v>695</v>
      </c>
      <c r="E289" s="6" t="s">
        <v>413</v>
      </c>
      <c r="F289" s="6" t="s">
        <v>463</v>
      </c>
      <c r="G289" s="6" t="s">
        <v>463</v>
      </c>
      <c r="H289" s="6"/>
      <c r="I289" s="6" t="s">
        <v>684</v>
      </c>
      <c r="J289" s="6"/>
      <c r="K289" s="6" t="s">
        <v>184</v>
      </c>
      <c r="L289" s="6" t="s">
        <v>685</v>
      </c>
      <c r="M289" s="6"/>
      <c r="N289" s="6"/>
      <c r="O289" s="6" t="s">
        <v>420</v>
      </c>
      <c r="P289" s="6" t="s">
        <v>1304</v>
      </c>
      <c r="Q289" s="8" t="s">
        <v>687</v>
      </c>
    </row>
    <row r="290" customFormat="false" ht="22.35" hidden="false" customHeight="false" outlineLevel="0" collapsed="false">
      <c r="A290" s="6" t="s">
        <v>1305</v>
      </c>
      <c r="B290" s="6" t="s">
        <v>1306</v>
      </c>
      <c r="C290" s="6" t="s">
        <v>411</v>
      </c>
      <c r="D290" s="6" t="s">
        <v>695</v>
      </c>
      <c r="E290" s="6" t="s">
        <v>413</v>
      </c>
      <c r="F290" s="6" t="s">
        <v>463</v>
      </c>
      <c r="G290" s="6" t="s">
        <v>463</v>
      </c>
      <c r="H290" s="6"/>
      <c r="I290" s="6" t="s">
        <v>684</v>
      </c>
      <c r="J290" s="6"/>
      <c r="K290" s="6" t="s">
        <v>184</v>
      </c>
      <c r="L290" s="6" t="s">
        <v>685</v>
      </c>
      <c r="M290" s="6"/>
      <c r="N290" s="6"/>
      <c r="O290" s="6" t="s">
        <v>420</v>
      </c>
      <c r="P290" s="6" t="s">
        <v>1307</v>
      </c>
      <c r="Q290" s="8" t="s">
        <v>687</v>
      </c>
    </row>
    <row r="291" customFormat="false" ht="22.35" hidden="false" customHeight="false" outlineLevel="0" collapsed="false">
      <c r="A291" s="6" t="s">
        <v>1308</v>
      </c>
      <c r="B291" s="6" t="s">
        <v>1309</v>
      </c>
      <c r="C291" s="6" t="s">
        <v>411</v>
      </c>
      <c r="D291" s="6" t="s">
        <v>695</v>
      </c>
      <c r="E291" s="6" t="s">
        <v>413</v>
      </c>
      <c r="F291" s="6" t="s">
        <v>463</v>
      </c>
      <c r="G291" s="6" t="s">
        <v>463</v>
      </c>
      <c r="H291" s="6"/>
      <c r="I291" s="6" t="s">
        <v>684</v>
      </c>
      <c r="J291" s="6"/>
      <c r="K291" s="6" t="s">
        <v>184</v>
      </c>
      <c r="L291" s="6" t="s">
        <v>685</v>
      </c>
      <c r="M291" s="6"/>
      <c r="N291" s="6"/>
      <c r="O291" s="6" t="s">
        <v>420</v>
      </c>
      <c r="P291" s="6" t="s">
        <v>1310</v>
      </c>
      <c r="Q291" s="8" t="s">
        <v>687</v>
      </c>
    </row>
    <row r="292" customFormat="false" ht="22.35" hidden="false" customHeight="false" outlineLevel="0" collapsed="false">
      <c r="A292" s="6" t="s">
        <v>1311</v>
      </c>
      <c r="B292" s="6" t="s">
        <v>1312</v>
      </c>
      <c r="C292" s="6" t="s">
        <v>411</v>
      </c>
      <c r="D292" s="6" t="s">
        <v>444</v>
      </c>
      <c r="E292" s="6" t="s">
        <v>413</v>
      </c>
      <c r="F292" s="6" t="s">
        <v>393</v>
      </c>
      <c r="G292" s="6" t="s">
        <v>393</v>
      </c>
      <c r="H292" s="6"/>
      <c r="I292" s="6" t="s">
        <v>684</v>
      </c>
      <c r="J292" s="6"/>
      <c r="K292" s="6" t="s">
        <v>184</v>
      </c>
      <c r="L292" s="6" t="s">
        <v>685</v>
      </c>
      <c r="M292" s="6"/>
      <c r="N292" s="6"/>
      <c r="O292" s="6" t="s">
        <v>451</v>
      </c>
      <c r="P292" s="6" t="s">
        <v>1313</v>
      </c>
      <c r="Q292" s="8" t="s">
        <v>687</v>
      </c>
    </row>
    <row r="293" customFormat="false" ht="22.35" hidden="false" customHeight="false" outlineLevel="0" collapsed="false">
      <c r="A293" s="6" t="s">
        <v>1314</v>
      </c>
      <c r="B293" s="6" t="s">
        <v>1315</v>
      </c>
      <c r="C293" s="6" t="s">
        <v>411</v>
      </c>
      <c r="D293" s="6" t="s">
        <v>695</v>
      </c>
      <c r="E293" s="6" t="s">
        <v>413</v>
      </c>
      <c r="F293" s="6" t="s">
        <v>414</v>
      </c>
      <c r="G293" s="6" t="s">
        <v>414</v>
      </c>
      <c r="H293" s="6"/>
      <c r="I293" s="6" t="s">
        <v>684</v>
      </c>
      <c r="J293" s="6"/>
      <c r="K293" s="6" t="s">
        <v>184</v>
      </c>
      <c r="L293" s="6" t="s">
        <v>685</v>
      </c>
      <c r="M293" s="6"/>
      <c r="N293" s="6"/>
      <c r="O293" s="6" t="s">
        <v>420</v>
      </c>
      <c r="P293" s="6" t="s">
        <v>1316</v>
      </c>
      <c r="Q293" s="8" t="s">
        <v>687</v>
      </c>
    </row>
    <row r="294" customFormat="false" ht="32.8" hidden="false" customHeight="false" outlineLevel="0" collapsed="false">
      <c r="A294" s="6" t="s">
        <v>1317</v>
      </c>
      <c r="B294" s="6" t="s">
        <v>1318</v>
      </c>
      <c r="C294" s="6" t="s">
        <v>411</v>
      </c>
      <c r="D294" s="6" t="s">
        <v>695</v>
      </c>
      <c r="E294" s="6" t="s">
        <v>413</v>
      </c>
      <c r="F294" s="6" t="s">
        <v>414</v>
      </c>
      <c r="G294" s="6" t="s">
        <v>414</v>
      </c>
      <c r="H294" s="6"/>
      <c r="I294" s="6" t="s">
        <v>684</v>
      </c>
      <c r="J294" s="6"/>
      <c r="K294" s="6" t="s">
        <v>184</v>
      </c>
      <c r="L294" s="6" t="s">
        <v>685</v>
      </c>
      <c r="M294" s="6"/>
      <c r="N294" s="6"/>
      <c r="O294" s="6" t="s">
        <v>420</v>
      </c>
      <c r="P294" s="6" t="s">
        <v>1319</v>
      </c>
      <c r="Q294" s="8" t="s">
        <v>687</v>
      </c>
    </row>
    <row r="295" customFormat="false" ht="22.35" hidden="false" customHeight="false" outlineLevel="0" collapsed="false">
      <c r="A295" s="6" t="s">
        <v>1320</v>
      </c>
      <c r="B295" s="6" t="s">
        <v>1321</v>
      </c>
      <c r="C295" s="6" t="s">
        <v>411</v>
      </c>
      <c r="D295" s="6" t="s">
        <v>695</v>
      </c>
      <c r="E295" s="6" t="s">
        <v>413</v>
      </c>
      <c r="F295" s="6" t="s">
        <v>463</v>
      </c>
      <c r="G295" s="6" t="s">
        <v>463</v>
      </c>
      <c r="H295" s="6"/>
      <c r="I295" s="6" t="s">
        <v>684</v>
      </c>
      <c r="J295" s="6"/>
      <c r="K295" s="6" t="s">
        <v>184</v>
      </c>
      <c r="L295" s="6" t="s">
        <v>685</v>
      </c>
      <c r="M295" s="6"/>
      <c r="N295" s="6"/>
      <c r="O295" s="6" t="s">
        <v>420</v>
      </c>
      <c r="P295" s="6" t="s">
        <v>1322</v>
      </c>
      <c r="Q295" s="8" t="s">
        <v>687</v>
      </c>
    </row>
    <row r="296" customFormat="false" ht="22.35" hidden="false" customHeight="false" outlineLevel="0" collapsed="false">
      <c r="A296" s="6" t="s">
        <v>1323</v>
      </c>
      <c r="B296" s="6" t="s">
        <v>1324</v>
      </c>
      <c r="C296" s="6" t="s">
        <v>411</v>
      </c>
      <c r="D296" s="6" t="s">
        <v>695</v>
      </c>
      <c r="E296" s="6" t="s">
        <v>413</v>
      </c>
      <c r="F296" s="6" t="s">
        <v>414</v>
      </c>
      <c r="G296" s="6" t="s">
        <v>414</v>
      </c>
      <c r="H296" s="6"/>
      <c r="I296" s="6" t="s">
        <v>684</v>
      </c>
      <c r="J296" s="6"/>
      <c r="K296" s="6" t="s">
        <v>184</v>
      </c>
      <c r="L296" s="6" t="s">
        <v>685</v>
      </c>
      <c r="M296" s="6"/>
      <c r="N296" s="6"/>
      <c r="O296" s="6" t="s">
        <v>420</v>
      </c>
      <c r="P296" s="6" t="s">
        <v>1325</v>
      </c>
      <c r="Q296" s="8" t="s">
        <v>687</v>
      </c>
    </row>
    <row r="297" customFormat="false" ht="22.35" hidden="false" customHeight="false" outlineLevel="0" collapsed="false">
      <c r="A297" s="6" t="s">
        <v>1326</v>
      </c>
      <c r="B297" s="6" t="s">
        <v>1327</v>
      </c>
      <c r="C297" s="6" t="s">
        <v>411</v>
      </c>
      <c r="D297" s="6" t="s">
        <v>444</v>
      </c>
      <c r="E297" s="6" t="s">
        <v>413</v>
      </c>
      <c r="F297" s="6" t="s">
        <v>393</v>
      </c>
      <c r="G297" s="6" t="s">
        <v>393</v>
      </c>
      <c r="H297" s="6"/>
      <c r="I297" s="6" t="s">
        <v>684</v>
      </c>
      <c r="J297" s="6"/>
      <c r="K297" s="6" t="s">
        <v>184</v>
      </c>
      <c r="L297" s="6" t="s">
        <v>685</v>
      </c>
      <c r="M297" s="6"/>
      <c r="N297" s="6"/>
      <c r="O297" s="6" t="s">
        <v>451</v>
      </c>
      <c r="P297" s="6" t="s">
        <v>1328</v>
      </c>
      <c r="Q297" s="8" t="s">
        <v>687</v>
      </c>
    </row>
    <row r="298" customFormat="false" ht="22.35" hidden="false" customHeight="false" outlineLevel="0" collapsed="false">
      <c r="A298" s="6" t="s">
        <v>1329</v>
      </c>
      <c r="B298" s="6" t="s">
        <v>1330</v>
      </c>
      <c r="C298" s="6" t="s">
        <v>411</v>
      </c>
      <c r="D298" s="6" t="s">
        <v>695</v>
      </c>
      <c r="E298" s="6" t="s">
        <v>413</v>
      </c>
      <c r="F298" s="6" t="s">
        <v>463</v>
      </c>
      <c r="G298" s="6" t="s">
        <v>463</v>
      </c>
      <c r="H298" s="6"/>
      <c r="I298" s="6" t="s">
        <v>684</v>
      </c>
      <c r="J298" s="6"/>
      <c r="K298" s="6" t="s">
        <v>184</v>
      </c>
      <c r="L298" s="6" t="s">
        <v>685</v>
      </c>
      <c r="M298" s="6"/>
      <c r="N298" s="6"/>
      <c r="O298" s="6" t="s">
        <v>420</v>
      </c>
      <c r="P298" s="6" t="s">
        <v>1331</v>
      </c>
      <c r="Q298" s="8" t="s">
        <v>687</v>
      </c>
    </row>
    <row r="299" customFormat="false" ht="22.35" hidden="false" customHeight="false" outlineLevel="0" collapsed="false">
      <c r="A299" s="6" t="s">
        <v>1332</v>
      </c>
      <c r="B299" s="6" t="s">
        <v>1333</v>
      </c>
      <c r="C299" s="6" t="s">
        <v>411</v>
      </c>
      <c r="D299" s="6" t="s">
        <v>801</v>
      </c>
      <c r="E299" s="6" t="s">
        <v>413</v>
      </c>
      <c r="F299" s="6" t="s">
        <v>156</v>
      </c>
      <c r="G299" s="6" t="s">
        <v>156</v>
      </c>
      <c r="H299" s="6"/>
      <c r="I299" s="6" t="s">
        <v>684</v>
      </c>
      <c r="J299" s="6"/>
      <c r="K299" s="6" t="s">
        <v>184</v>
      </c>
      <c r="L299" s="6" t="s">
        <v>685</v>
      </c>
      <c r="M299" s="6"/>
      <c r="N299" s="6"/>
      <c r="O299" s="6" t="s">
        <v>368</v>
      </c>
      <c r="P299" s="6" t="s">
        <v>1334</v>
      </c>
      <c r="Q299" s="8" t="s">
        <v>687</v>
      </c>
    </row>
    <row r="300" customFormat="false" ht="22.35" hidden="false" customHeight="false" outlineLevel="0" collapsed="false">
      <c r="A300" s="6" t="s">
        <v>1335</v>
      </c>
      <c r="B300" s="6" t="s">
        <v>1336</v>
      </c>
      <c r="C300" s="6" t="s">
        <v>411</v>
      </c>
      <c r="D300" s="6" t="s">
        <v>695</v>
      </c>
      <c r="E300" s="6" t="s">
        <v>413</v>
      </c>
      <c r="F300" s="6" t="s">
        <v>414</v>
      </c>
      <c r="G300" s="6" t="s">
        <v>414</v>
      </c>
      <c r="H300" s="6"/>
      <c r="I300" s="6" t="s">
        <v>684</v>
      </c>
      <c r="J300" s="6"/>
      <c r="K300" s="6" t="s">
        <v>184</v>
      </c>
      <c r="L300" s="6" t="s">
        <v>685</v>
      </c>
      <c r="M300" s="6"/>
      <c r="N300" s="6"/>
      <c r="O300" s="6" t="s">
        <v>420</v>
      </c>
      <c r="P300" s="6" t="s">
        <v>1337</v>
      </c>
      <c r="Q300" s="8" t="s">
        <v>687</v>
      </c>
    </row>
    <row r="301" customFormat="false" ht="22.35" hidden="false" customHeight="false" outlineLevel="0" collapsed="false">
      <c r="A301" s="6" t="s">
        <v>1338</v>
      </c>
      <c r="B301" s="6" t="s">
        <v>1339</v>
      </c>
      <c r="C301" s="6" t="s">
        <v>411</v>
      </c>
      <c r="D301" s="6" t="s">
        <v>695</v>
      </c>
      <c r="E301" s="6" t="s">
        <v>413</v>
      </c>
      <c r="F301" s="6" t="s">
        <v>463</v>
      </c>
      <c r="G301" s="6" t="s">
        <v>463</v>
      </c>
      <c r="H301" s="6"/>
      <c r="I301" s="6" t="s">
        <v>684</v>
      </c>
      <c r="J301" s="6"/>
      <c r="K301" s="6" t="s">
        <v>184</v>
      </c>
      <c r="L301" s="6" t="s">
        <v>685</v>
      </c>
      <c r="M301" s="6"/>
      <c r="N301" s="6"/>
      <c r="O301" s="6" t="s">
        <v>420</v>
      </c>
      <c r="P301" s="6" t="s">
        <v>1340</v>
      </c>
      <c r="Q301" s="8" t="s">
        <v>687</v>
      </c>
    </row>
    <row r="302" customFormat="false" ht="22.35" hidden="false" customHeight="false" outlineLevel="0" collapsed="false">
      <c r="A302" s="6" t="s">
        <v>1341</v>
      </c>
      <c r="B302" s="6" t="s">
        <v>1342</v>
      </c>
      <c r="C302" s="6" t="s">
        <v>411</v>
      </c>
      <c r="D302" s="6" t="s">
        <v>695</v>
      </c>
      <c r="E302" s="6" t="s">
        <v>413</v>
      </c>
      <c r="F302" s="6" t="s">
        <v>463</v>
      </c>
      <c r="G302" s="6" t="s">
        <v>463</v>
      </c>
      <c r="H302" s="6"/>
      <c r="I302" s="6" t="s">
        <v>684</v>
      </c>
      <c r="J302" s="6"/>
      <c r="K302" s="6" t="s">
        <v>184</v>
      </c>
      <c r="L302" s="6" t="s">
        <v>685</v>
      </c>
      <c r="M302" s="6"/>
      <c r="N302" s="6"/>
      <c r="O302" s="6" t="s">
        <v>420</v>
      </c>
      <c r="P302" s="6" t="s">
        <v>1343</v>
      </c>
      <c r="Q302" s="8" t="s">
        <v>687</v>
      </c>
    </row>
    <row r="303" customFormat="false" ht="22.35" hidden="false" customHeight="false" outlineLevel="0" collapsed="false">
      <c r="A303" s="6" t="s">
        <v>1344</v>
      </c>
      <c r="B303" s="6" t="s">
        <v>1345</v>
      </c>
      <c r="C303" s="6" t="s">
        <v>411</v>
      </c>
      <c r="D303" s="6" t="s">
        <v>1133</v>
      </c>
      <c r="E303" s="6" t="s">
        <v>413</v>
      </c>
      <c r="F303" s="6" t="s">
        <v>1134</v>
      </c>
      <c r="G303" s="6" t="s">
        <v>1134</v>
      </c>
      <c r="H303" s="6"/>
      <c r="I303" s="6" t="s">
        <v>684</v>
      </c>
      <c r="J303" s="6"/>
      <c r="K303" s="6" t="s">
        <v>184</v>
      </c>
      <c r="L303" s="6" t="s">
        <v>685</v>
      </c>
      <c r="M303" s="6"/>
      <c r="N303" s="6"/>
      <c r="O303" s="6" t="s">
        <v>1135</v>
      </c>
      <c r="P303" s="6" t="s">
        <v>1346</v>
      </c>
      <c r="Q303" s="8" t="s">
        <v>687</v>
      </c>
    </row>
    <row r="304" customFormat="false" ht="22.35" hidden="false" customHeight="false" outlineLevel="0" collapsed="false">
      <c r="A304" s="6" t="s">
        <v>1347</v>
      </c>
      <c r="B304" s="6" t="s">
        <v>1348</v>
      </c>
      <c r="C304" s="6" t="s">
        <v>411</v>
      </c>
      <c r="D304" s="6" t="s">
        <v>695</v>
      </c>
      <c r="E304" s="6" t="s">
        <v>413</v>
      </c>
      <c r="F304" s="6" t="s">
        <v>414</v>
      </c>
      <c r="G304" s="6" t="s">
        <v>414</v>
      </c>
      <c r="H304" s="6"/>
      <c r="I304" s="6" t="s">
        <v>684</v>
      </c>
      <c r="J304" s="6"/>
      <c r="K304" s="6" t="s">
        <v>184</v>
      </c>
      <c r="L304" s="6" t="s">
        <v>685</v>
      </c>
      <c r="M304" s="6"/>
      <c r="N304" s="6"/>
      <c r="O304" s="6" t="s">
        <v>420</v>
      </c>
      <c r="P304" s="6" t="s">
        <v>1349</v>
      </c>
      <c r="Q304" s="8" t="s">
        <v>687</v>
      </c>
    </row>
    <row r="305" customFormat="false" ht="22.35" hidden="false" customHeight="false" outlineLevel="0" collapsed="false">
      <c r="A305" s="6" t="s">
        <v>1350</v>
      </c>
      <c r="B305" s="6" t="s">
        <v>1351</v>
      </c>
      <c r="C305" s="6" t="s">
        <v>411</v>
      </c>
      <c r="D305" s="6" t="s">
        <v>695</v>
      </c>
      <c r="E305" s="6" t="s">
        <v>413</v>
      </c>
      <c r="F305" s="6" t="s">
        <v>414</v>
      </c>
      <c r="G305" s="6" t="s">
        <v>414</v>
      </c>
      <c r="H305" s="6"/>
      <c r="I305" s="6" t="s">
        <v>684</v>
      </c>
      <c r="J305" s="6"/>
      <c r="K305" s="6" t="s">
        <v>184</v>
      </c>
      <c r="L305" s="6" t="s">
        <v>685</v>
      </c>
      <c r="M305" s="6"/>
      <c r="N305" s="6"/>
      <c r="O305" s="6" t="s">
        <v>420</v>
      </c>
      <c r="P305" s="6" t="s">
        <v>1352</v>
      </c>
      <c r="Q305" s="8" t="s">
        <v>687</v>
      </c>
    </row>
    <row r="306" customFormat="false" ht="22.35" hidden="false" customHeight="false" outlineLevel="0" collapsed="false">
      <c r="A306" s="6" t="s">
        <v>1353</v>
      </c>
      <c r="B306" s="6" t="s">
        <v>1354</v>
      </c>
      <c r="C306" s="6" t="s">
        <v>411</v>
      </c>
      <c r="D306" s="6" t="s">
        <v>1133</v>
      </c>
      <c r="E306" s="6" t="s">
        <v>413</v>
      </c>
      <c r="F306" s="6" t="s">
        <v>1134</v>
      </c>
      <c r="G306" s="6" t="s">
        <v>1134</v>
      </c>
      <c r="H306" s="6"/>
      <c r="I306" s="6" t="s">
        <v>684</v>
      </c>
      <c r="J306" s="6"/>
      <c r="K306" s="6" t="s">
        <v>184</v>
      </c>
      <c r="L306" s="6" t="s">
        <v>685</v>
      </c>
      <c r="M306" s="6"/>
      <c r="N306" s="6"/>
      <c r="O306" s="6" t="s">
        <v>1135</v>
      </c>
      <c r="P306" s="6" t="s">
        <v>1355</v>
      </c>
      <c r="Q306" s="8" t="s">
        <v>687</v>
      </c>
    </row>
    <row r="307" customFormat="false" ht="22.35" hidden="false" customHeight="false" outlineLevel="0" collapsed="false">
      <c r="A307" s="6" t="s">
        <v>1356</v>
      </c>
      <c r="B307" s="6" t="s">
        <v>1357</v>
      </c>
      <c r="C307" s="6" t="s">
        <v>411</v>
      </c>
      <c r="D307" s="6" t="s">
        <v>695</v>
      </c>
      <c r="E307" s="6" t="s">
        <v>413</v>
      </c>
      <c r="F307" s="6" t="s">
        <v>414</v>
      </c>
      <c r="G307" s="6" t="s">
        <v>414</v>
      </c>
      <c r="H307" s="6"/>
      <c r="I307" s="6" t="s">
        <v>684</v>
      </c>
      <c r="J307" s="6"/>
      <c r="K307" s="6" t="s">
        <v>184</v>
      </c>
      <c r="L307" s="6" t="s">
        <v>685</v>
      </c>
      <c r="M307" s="6"/>
      <c r="N307" s="6"/>
      <c r="O307" s="6" t="s">
        <v>420</v>
      </c>
      <c r="P307" s="6" t="s">
        <v>1358</v>
      </c>
      <c r="Q307" s="8" t="s">
        <v>687</v>
      </c>
    </row>
    <row r="308" customFormat="false" ht="22.35" hidden="false" customHeight="false" outlineLevel="0" collapsed="false">
      <c r="A308" s="6" t="s">
        <v>1359</v>
      </c>
      <c r="B308" s="6" t="s">
        <v>1360</v>
      </c>
      <c r="C308" s="6" t="s">
        <v>411</v>
      </c>
      <c r="D308" s="6" t="s">
        <v>444</v>
      </c>
      <c r="E308" s="6" t="s">
        <v>413</v>
      </c>
      <c r="F308" s="6" t="s">
        <v>393</v>
      </c>
      <c r="G308" s="6" t="s">
        <v>393</v>
      </c>
      <c r="H308" s="6"/>
      <c r="I308" s="6" t="s">
        <v>684</v>
      </c>
      <c r="J308" s="6"/>
      <c r="K308" s="6" t="s">
        <v>184</v>
      </c>
      <c r="L308" s="6" t="s">
        <v>685</v>
      </c>
      <c r="M308" s="6"/>
      <c r="N308" s="6"/>
      <c r="O308" s="6" t="s">
        <v>451</v>
      </c>
      <c r="P308" s="6" t="s">
        <v>1361</v>
      </c>
      <c r="Q308" s="8" t="s">
        <v>687</v>
      </c>
    </row>
    <row r="309" customFormat="false" ht="22.35" hidden="false" customHeight="false" outlineLevel="0" collapsed="false">
      <c r="A309" s="6" t="s">
        <v>1362</v>
      </c>
      <c r="B309" s="6" t="s">
        <v>1363</v>
      </c>
      <c r="C309" s="6" t="s">
        <v>411</v>
      </c>
      <c r="D309" s="6" t="s">
        <v>695</v>
      </c>
      <c r="E309" s="6" t="s">
        <v>413</v>
      </c>
      <c r="F309" s="6" t="s">
        <v>463</v>
      </c>
      <c r="G309" s="6" t="s">
        <v>463</v>
      </c>
      <c r="H309" s="6"/>
      <c r="I309" s="6" t="s">
        <v>684</v>
      </c>
      <c r="J309" s="6"/>
      <c r="K309" s="6" t="s">
        <v>184</v>
      </c>
      <c r="L309" s="6" t="s">
        <v>685</v>
      </c>
      <c r="M309" s="6"/>
      <c r="N309" s="6"/>
      <c r="O309" s="6" t="s">
        <v>420</v>
      </c>
      <c r="P309" s="6" t="s">
        <v>1364</v>
      </c>
      <c r="Q309" s="8" t="s">
        <v>687</v>
      </c>
    </row>
    <row r="310" customFormat="false" ht="22.35" hidden="false" customHeight="false" outlineLevel="0" collapsed="false">
      <c r="A310" s="6" t="s">
        <v>1365</v>
      </c>
      <c r="B310" s="6" t="s">
        <v>1366</v>
      </c>
      <c r="C310" s="6" t="s">
        <v>411</v>
      </c>
      <c r="D310" s="6" t="s">
        <v>695</v>
      </c>
      <c r="E310" s="6" t="s">
        <v>413</v>
      </c>
      <c r="F310" s="6" t="s">
        <v>414</v>
      </c>
      <c r="G310" s="6" t="s">
        <v>414</v>
      </c>
      <c r="H310" s="6"/>
      <c r="I310" s="6" t="s">
        <v>684</v>
      </c>
      <c r="J310" s="6"/>
      <c r="K310" s="6" t="s">
        <v>184</v>
      </c>
      <c r="L310" s="6" t="s">
        <v>685</v>
      </c>
      <c r="M310" s="6"/>
      <c r="N310" s="6"/>
      <c r="O310" s="6" t="s">
        <v>420</v>
      </c>
      <c r="P310" s="6" t="s">
        <v>1367</v>
      </c>
      <c r="Q310" s="8" t="s">
        <v>687</v>
      </c>
    </row>
    <row r="311" customFormat="false" ht="22.35" hidden="false" customHeight="false" outlineLevel="0" collapsed="false">
      <c r="A311" s="6" t="s">
        <v>1368</v>
      </c>
      <c r="B311" s="6" t="s">
        <v>1369</v>
      </c>
      <c r="C311" s="6" t="s">
        <v>411</v>
      </c>
      <c r="D311" s="6" t="s">
        <v>444</v>
      </c>
      <c r="E311" s="6" t="s">
        <v>413</v>
      </c>
      <c r="F311" s="6" t="s">
        <v>393</v>
      </c>
      <c r="G311" s="6" t="s">
        <v>393</v>
      </c>
      <c r="H311" s="6"/>
      <c r="I311" s="6" t="s">
        <v>684</v>
      </c>
      <c r="J311" s="6"/>
      <c r="K311" s="6" t="s">
        <v>184</v>
      </c>
      <c r="L311" s="6" t="s">
        <v>685</v>
      </c>
      <c r="M311" s="6"/>
      <c r="N311" s="6"/>
      <c r="O311" s="6" t="s">
        <v>451</v>
      </c>
      <c r="P311" s="6" t="s">
        <v>1370</v>
      </c>
      <c r="Q311" s="8" t="s">
        <v>687</v>
      </c>
    </row>
    <row r="312" customFormat="false" ht="22.35" hidden="false" customHeight="false" outlineLevel="0" collapsed="false">
      <c r="A312" s="6" t="s">
        <v>1371</v>
      </c>
      <c r="B312" s="6" t="s">
        <v>1372</v>
      </c>
      <c r="C312" s="6" t="s">
        <v>411</v>
      </c>
      <c r="D312" s="6" t="s">
        <v>1133</v>
      </c>
      <c r="E312" s="6" t="s">
        <v>413</v>
      </c>
      <c r="F312" s="6" t="s">
        <v>1134</v>
      </c>
      <c r="G312" s="6" t="s">
        <v>1134</v>
      </c>
      <c r="H312" s="6"/>
      <c r="I312" s="6" t="s">
        <v>684</v>
      </c>
      <c r="J312" s="6"/>
      <c r="K312" s="6" t="s">
        <v>184</v>
      </c>
      <c r="L312" s="6" t="s">
        <v>685</v>
      </c>
      <c r="M312" s="6"/>
      <c r="N312" s="6"/>
      <c r="O312" s="6" t="s">
        <v>1135</v>
      </c>
      <c r="P312" s="6" t="s">
        <v>1373</v>
      </c>
      <c r="Q312" s="8" t="s">
        <v>687</v>
      </c>
    </row>
    <row r="313" customFormat="false" ht="22.35" hidden="false" customHeight="false" outlineLevel="0" collapsed="false">
      <c r="A313" s="6" t="s">
        <v>1374</v>
      </c>
      <c r="B313" s="6" t="s">
        <v>1375</v>
      </c>
      <c r="C313" s="6" t="s">
        <v>411</v>
      </c>
      <c r="D313" s="6" t="s">
        <v>695</v>
      </c>
      <c r="E313" s="6" t="s">
        <v>413</v>
      </c>
      <c r="F313" s="6" t="s">
        <v>414</v>
      </c>
      <c r="G313" s="6" t="s">
        <v>414</v>
      </c>
      <c r="H313" s="6"/>
      <c r="I313" s="6" t="s">
        <v>684</v>
      </c>
      <c r="J313" s="6"/>
      <c r="K313" s="6" t="s">
        <v>184</v>
      </c>
      <c r="L313" s="6" t="s">
        <v>685</v>
      </c>
      <c r="M313" s="6"/>
      <c r="N313" s="6"/>
      <c r="O313" s="6" t="s">
        <v>420</v>
      </c>
      <c r="P313" s="6" t="s">
        <v>1376</v>
      </c>
      <c r="Q313" s="8" t="s">
        <v>687</v>
      </c>
    </row>
    <row r="314" customFormat="false" ht="22.35" hidden="false" customHeight="false" outlineLevel="0" collapsed="false">
      <c r="A314" s="6" t="s">
        <v>1377</v>
      </c>
      <c r="B314" s="6" t="s">
        <v>1378</v>
      </c>
      <c r="C314" s="6" t="s">
        <v>411</v>
      </c>
      <c r="D314" s="6" t="s">
        <v>487</v>
      </c>
      <c r="E314" s="6" t="s">
        <v>413</v>
      </c>
      <c r="F314" s="6" t="s">
        <v>500</v>
      </c>
      <c r="G314" s="6" t="s">
        <v>500</v>
      </c>
      <c r="H314" s="6"/>
      <c r="I314" s="6" t="s">
        <v>684</v>
      </c>
      <c r="J314" s="6"/>
      <c r="K314" s="6" t="s">
        <v>184</v>
      </c>
      <c r="L314" s="6" t="s">
        <v>685</v>
      </c>
      <c r="M314" s="6"/>
      <c r="N314" s="6"/>
      <c r="O314" s="6" t="s">
        <v>495</v>
      </c>
      <c r="P314" s="6" t="s">
        <v>1379</v>
      </c>
      <c r="Q314" s="8" t="s">
        <v>687</v>
      </c>
    </row>
    <row r="315" customFormat="false" ht="22.35" hidden="false" customHeight="false" outlineLevel="0" collapsed="false">
      <c r="A315" s="6" t="s">
        <v>1380</v>
      </c>
      <c r="B315" s="6" t="s">
        <v>1381</v>
      </c>
      <c r="C315" s="6" t="s">
        <v>411</v>
      </c>
      <c r="D315" s="6" t="s">
        <v>1133</v>
      </c>
      <c r="E315" s="6" t="s">
        <v>413</v>
      </c>
      <c r="F315" s="6" t="s">
        <v>1134</v>
      </c>
      <c r="G315" s="6" t="s">
        <v>1134</v>
      </c>
      <c r="H315" s="6"/>
      <c r="I315" s="6" t="s">
        <v>684</v>
      </c>
      <c r="J315" s="6"/>
      <c r="K315" s="6" t="s">
        <v>184</v>
      </c>
      <c r="L315" s="6" t="s">
        <v>685</v>
      </c>
      <c r="M315" s="6"/>
      <c r="N315" s="6"/>
      <c r="O315" s="6" t="s">
        <v>1135</v>
      </c>
      <c r="P315" s="6" t="s">
        <v>1382</v>
      </c>
      <c r="Q315" s="8" t="s">
        <v>687</v>
      </c>
    </row>
    <row r="316" customFormat="false" ht="22.35" hidden="false" customHeight="false" outlineLevel="0" collapsed="false">
      <c r="A316" s="6" t="s">
        <v>1383</v>
      </c>
      <c r="B316" s="6" t="s">
        <v>1384</v>
      </c>
      <c r="C316" s="6" t="s">
        <v>411</v>
      </c>
      <c r="D316" s="6" t="s">
        <v>801</v>
      </c>
      <c r="E316" s="6" t="s">
        <v>413</v>
      </c>
      <c r="F316" s="6" t="s">
        <v>156</v>
      </c>
      <c r="G316" s="6" t="s">
        <v>156</v>
      </c>
      <c r="H316" s="6"/>
      <c r="I316" s="6" t="s">
        <v>684</v>
      </c>
      <c r="J316" s="6"/>
      <c r="K316" s="6" t="s">
        <v>184</v>
      </c>
      <c r="L316" s="6" t="s">
        <v>685</v>
      </c>
      <c r="M316" s="6"/>
      <c r="N316" s="6"/>
      <c r="O316" s="6" t="s">
        <v>368</v>
      </c>
      <c r="P316" s="6" t="s">
        <v>1385</v>
      </c>
      <c r="Q316" s="8" t="s">
        <v>687</v>
      </c>
    </row>
    <row r="317" customFormat="false" ht="22.35" hidden="false" customHeight="false" outlineLevel="0" collapsed="false">
      <c r="A317" s="6" t="s">
        <v>1386</v>
      </c>
      <c r="B317" s="6" t="s">
        <v>1387</v>
      </c>
      <c r="C317" s="6" t="s">
        <v>411</v>
      </c>
      <c r="D317" s="6" t="s">
        <v>1133</v>
      </c>
      <c r="E317" s="6" t="s">
        <v>413</v>
      </c>
      <c r="F317" s="6" t="s">
        <v>1134</v>
      </c>
      <c r="G317" s="6" t="s">
        <v>1134</v>
      </c>
      <c r="H317" s="6"/>
      <c r="I317" s="6" t="s">
        <v>684</v>
      </c>
      <c r="J317" s="6"/>
      <c r="K317" s="6" t="s">
        <v>184</v>
      </c>
      <c r="L317" s="6" t="s">
        <v>685</v>
      </c>
      <c r="M317" s="6"/>
      <c r="N317" s="6"/>
      <c r="O317" s="6" t="s">
        <v>1135</v>
      </c>
      <c r="P317" s="6" t="s">
        <v>1388</v>
      </c>
      <c r="Q317" s="8" t="s">
        <v>687</v>
      </c>
    </row>
    <row r="318" customFormat="false" ht="22.35" hidden="false" customHeight="false" outlineLevel="0" collapsed="false">
      <c r="A318" s="6" t="s">
        <v>1389</v>
      </c>
      <c r="B318" s="6" t="s">
        <v>1390</v>
      </c>
      <c r="C318" s="6" t="s">
        <v>411</v>
      </c>
      <c r="D318" s="6" t="s">
        <v>1023</v>
      </c>
      <c r="E318" s="6" t="s">
        <v>413</v>
      </c>
      <c r="F318" s="6" t="s">
        <v>1024</v>
      </c>
      <c r="G318" s="6" t="s">
        <v>1024</v>
      </c>
      <c r="H318" s="6"/>
      <c r="I318" s="6" t="s">
        <v>684</v>
      </c>
      <c r="J318" s="6"/>
      <c r="K318" s="6" t="s">
        <v>184</v>
      </c>
      <c r="L318" s="6" t="s">
        <v>685</v>
      </c>
      <c r="M318" s="6"/>
      <c r="N318" s="6"/>
      <c r="O318" s="6" t="s">
        <v>518</v>
      </c>
      <c r="P318" s="6" t="s">
        <v>1391</v>
      </c>
      <c r="Q318" s="8" t="s">
        <v>687</v>
      </c>
    </row>
    <row r="319" customFormat="false" ht="22.35" hidden="false" customHeight="false" outlineLevel="0" collapsed="false">
      <c r="A319" s="6" t="s">
        <v>1392</v>
      </c>
      <c r="B319" s="6" t="s">
        <v>1393</v>
      </c>
      <c r="C319" s="6" t="s">
        <v>411</v>
      </c>
      <c r="D319" s="6" t="s">
        <v>690</v>
      </c>
      <c r="E319" s="6" t="s">
        <v>413</v>
      </c>
      <c r="F319" s="6" t="s">
        <v>691</v>
      </c>
      <c r="G319" s="6" t="s">
        <v>691</v>
      </c>
      <c r="H319" s="6"/>
      <c r="I319" s="6" t="s">
        <v>684</v>
      </c>
      <c r="J319" s="6"/>
      <c r="K319" s="6" t="s">
        <v>184</v>
      </c>
      <c r="L319" s="6" t="s">
        <v>685</v>
      </c>
      <c r="M319" s="6"/>
      <c r="N319" s="6"/>
      <c r="O319" s="6" t="s">
        <v>310</v>
      </c>
      <c r="P319" s="6" t="s">
        <v>1394</v>
      </c>
      <c r="Q319" s="8" t="s">
        <v>687</v>
      </c>
    </row>
    <row r="320" customFormat="false" ht="22.35" hidden="false" customHeight="false" outlineLevel="0" collapsed="false">
      <c r="A320" s="6" t="s">
        <v>1395</v>
      </c>
      <c r="B320" s="6" t="s">
        <v>1396</v>
      </c>
      <c r="C320" s="6" t="s">
        <v>411</v>
      </c>
      <c r="D320" s="6" t="s">
        <v>732</v>
      </c>
      <c r="E320" s="6" t="s">
        <v>413</v>
      </c>
      <c r="F320" s="6" t="s">
        <v>315</v>
      </c>
      <c r="G320" s="6" t="s">
        <v>315</v>
      </c>
      <c r="H320" s="6"/>
      <c r="I320" s="6" t="s">
        <v>684</v>
      </c>
      <c r="J320" s="6"/>
      <c r="K320" s="6" t="s">
        <v>184</v>
      </c>
      <c r="L320" s="6" t="s">
        <v>685</v>
      </c>
      <c r="M320" s="6"/>
      <c r="N320" s="6"/>
      <c r="O320" s="6" t="s">
        <v>733</v>
      </c>
      <c r="P320" s="6" t="s">
        <v>1397</v>
      </c>
      <c r="Q320" s="8" t="s">
        <v>687</v>
      </c>
    </row>
    <row r="321" customFormat="false" ht="22.35" hidden="false" customHeight="false" outlineLevel="0" collapsed="false">
      <c r="A321" s="6" t="s">
        <v>1398</v>
      </c>
      <c r="B321" s="6" t="s">
        <v>1399</v>
      </c>
      <c r="C321" s="6" t="s">
        <v>411</v>
      </c>
      <c r="D321" s="6" t="s">
        <v>690</v>
      </c>
      <c r="E321" s="6" t="s">
        <v>413</v>
      </c>
      <c r="F321" s="6" t="s">
        <v>562</v>
      </c>
      <c r="G321" s="6" t="s">
        <v>562</v>
      </c>
      <c r="H321" s="6"/>
      <c r="I321" s="6" t="s">
        <v>684</v>
      </c>
      <c r="J321" s="6"/>
      <c r="K321" s="6" t="s">
        <v>184</v>
      </c>
      <c r="L321" s="6" t="s">
        <v>685</v>
      </c>
      <c r="M321" s="6"/>
      <c r="N321" s="6"/>
      <c r="O321" s="6" t="s">
        <v>310</v>
      </c>
      <c r="P321" s="6" t="s">
        <v>1400</v>
      </c>
      <c r="Q321" s="8" t="s">
        <v>687</v>
      </c>
    </row>
    <row r="322" customFormat="false" ht="22.35" hidden="false" customHeight="false" outlineLevel="0" collapsed="false">
      <c r="A322" s="6" t="s">
        <v>1401</v>
      </c>
      <c r="B322" s="6" t="s">
        <v>1402</v>
      </c>
      <c r="C322" s="6" t="s">
        <v>411</v>
      </c>
      <c r="D322" s="6" t="s">
        <v>1133</v>
      </c>
      <c r="E322" s="6" t="s">
        <v>413</v>
      </c>
      <c r="F322" s="6" t="s">
        <v>1134</v>
      </c>
      <c r="G322" s="6" t="s">
        <v>1134</v>
      </c>
      <c r="H322" s="6"/>
      <c r="I322" s="6" t="s">
        <v>684</v>
      </c>
      <c r="J322" s="6"/>
      <c r="K322" s="6" t="s">
        <v>184</v>
      </c>
      <c r="L322" s="6" t="s">
        <v>685</v>
      </c>
      <c r="M322" s="6"/>
      <c r="N322" s="6"/>
      <c r="O322" s="6" t="s">
        <v>1135</v>
      </c>
      <c r="P322" s="6" t="s">
        <v>1403</v>
      </c>
      <c r="Q322" s="8" t="s">
        <v>687</v>
      </c>
    </row>
    <row r="323" customFormat="false" ht="22.35" hidden="false" customHeight="false" outlineLevel="0" collapsed="false">
      <c r="A323" s="6" t="s">
        <v>1404</v>
      </c>
      <c r="B323" s="6" t="s">
        <v>1405</v>
      </c>
      <c r="C323" s="6" t="s">
        <v>411</v>
      </c>
      <c r="D323" s="6" t="s">
        <v>487</v>
      </c>
      <c r="E323" s="6" t="s">
        <v>413</v>
      </c>
      <c r="F323" s="6" t="s">
        <v>500</v>
      </c>
      <c r="G323" s="6" t="s">
        <v>500</v>
      </c>
      <c r="H323" s="6"/>
      <c r="I323" s="6" t="s">
        <v>684</v>
      </c>
      <c r="J323" s="6"/>
      <c r="K323" s="6" t="s">
        <v>184</v>
      </c>
      <c r="L323" s="6" t="s">
        <v>685</v>
      </c>
      <c r="M323" s="6"/>
      <c r="N323" s="6"/>
      <c r="O323" s="6" t="s">
        <v>495</v>
      </c>
      <c r="P323" s="6" t="s">
        <v>1406</v>
      </c>
      <c r="Q323" s="8" t="s">
        <v>687</v>
      </c>
    </row>
    <row r="324" customFormat="false" ht="22.35" hidden="false" customHeight="false" outlineLevel="0" collapsed="false">
      <c r="A324" s="6" t="s">
        <v>1407</v>
      </c>
      <c r="B324" s="6" t="s">
        <v>1408</v>
      </c>
      <c r="C324" s="6" t="s">
        <v>411</v>
      </c>
      <c r="D324" s="6" t="s">
        <v>690</v>
      </c>
      <c r="E324" s="6" t="s">
        <v>413</v>
      </c>
      <c r="F324" s="6" t="s">
        <v>691</v>
      </c>
      <c r="G324" s="6" t="s">
        <v>691</v>
      </c>
      <c r="H324" s="6"/>
      <c r="I324" s="6" t="s">
        <v>684</v>
      </c>
      <c r="J324" s="6"/>
      <c r="K324" s="6" t="s">
        <v>184</v>
      </c>
      <c r="L324" s="6" t="s">
        <v>685</v>
      </c>
      <c r="M324" s="6"/>
      <c r="N324" s="6"/>
      <c r="O324" s="6" t="s">
        <v>310</v>
      </c>
      <c r="P324" s="6" t="s">
        <v>1409</v>
      </c>
      <c r="Q324" s="8" t="s">
        <v>687</v>
      </c>
    </row>
    <row r="325" customFormat="false" ht="22.35" hidden="false" customHeight="false" outlineLevel="0" collapsed="false">
      <c r="A325" s="6" t="s">
        <v>1410</v>
      </c>
      <c r="B325" s="6" t="s">
        <v>1411</v>
      </c>
      <c r="C325" s="6" t="s">
        <v>411</v>
      </c>
      <c r="D325" s="6" t="s">
        <v>732</v>
      </c>
      <c r="E325" s="6" t="s">
        <v>413</v>
      </c>
      <c r="F325" s="6" t="s">
        <v>315</v>
      </c>
      <c r="G325" s="6" t="s">
        <v>315</v>
      </c>
      <c r="H325" s="6"/>
      <c r="I325" s="6" t="s">
        <v>684</v>
      </c>
      <c r="J325" s="6"/>
      <c r="K325" s="6" t="s">
        <v>184</v>
      </c>
      <c r="L325" s="6" t="s">
        <v>685</v>
      </c>
      <c r="M325" s="6"/>
      <c r="N325" s="6"/>
      <c r="O325" s="6" t="s">
        <v>733</v>
      </c>
      <c r="P325" s="6" t="s">
        <v>1412</v>
      </c>
      <c r="Q325" s="8" t="s">
        <v>687</v>
      </c>
    </row>
    <row r="326" customFormat="false" ht="22.35" hidden="false" customHeight="false" outlineLevel="0" collapsed="false">
      <c r="A326" s="6" t="s">
        <v>1413</v>
      </c>
      <c r="B326" s="6" t="s">
        <v>1414</v>
      </c>
      <c r="C326" s="6" t="s">
        <v>411</v>
      </c>
      <c r="D326" s="6" t="s">
        <v>732</v>
      </c>
      <c r="E326" s="6" t="s">
        <v>413</v>
      </c>
      <c r="F326" s="6" t="s">
        <v>315</v>
      </c>
      <c r="G326" s="6" t="s">
        <v>315</v>
      </c>
      <c r="H326" s="6"/>
      <c r="I326" s="6" t="s">
        <v>684</v>
      </c>
      <c r="J326" s="6"/>
      <c r="K326" s="6" t="s">
        <v>184</v>
      </c>
      <c r="L326" s="6" t="s">
        <v>685</v>
      </c>
      <c r="M326" s="6"/>
      <c r="N326" s="6"/>
      <c r="O326" s="6" t="s">
        <v>733</v>
      </c>
      <c r="P326" s="6" t="s">
        <v>1415</v>
      </c>
      <c r="Q326" s="8" t="s">
        <v>687</v>
      </c>
    </row>
    <row r="327" customFormat="false" ht="22.35" hidden="false" customHeight="false" outlineLevel="0" collapsed="false">
      <c r="A327" s="6" t="s">
        <v>1416</v>
      </c>
      <c r="B327" s="6" t="s">
        <v>1417</v>
      </c>
      <c r="C327" s="6" t="s">
        <v>411</v>
      </c>
      <c r="D327" s="6" t="s">
        <v>1133</v>
      </c>
      <c r="E327" s="6" t="s">
        <v>413</v>
      </c>
      <c r="F327" s="6" t="s">
        <v>1134</v>
      </c>
      <c r="G327" s="6" t="s">
        <v>1134</v>
      </c>
      <c r="H327" s="6"/>
      <c r="I327" s="6" t="s">
        <v>684</v>
      </c>
      <c r="J327" s="6"/>
      <c r="K327" s="6" t="s">
        <v>184</v>
      </c>
      <c r="L327" s="6" t="s">
        <v>685</v>
      </c>
      <c r="M327" s="6"/>
      <c r="N327" s="6"/>
      <c r="O327" s="6" t="s">
        <v>1135</v>
      </c>
      <c r="P327" s="6" t="s">
        <v>1418</v>
      </c>
      <c r="Q327" s="8" t="s">
        <v>687</v>
      </c>
    </row>
    <row r="328" customFormat="false" ht="22.35" hidden="false" customHeight="false" outlineLevel="0" collapsed="false">
      <c r="A328" s="6" t="s">
        <v>1419</v>
      </c>
      <c r="B328" s="6" t="s">
        <v>1420</v>
      </c>
      <c r="C328" s="6" t="s">
        <v>411</v>
      </c>
      <c r="D328" s="6" t="s">
        <v>578</v>
      </c>
      <c r="E328" s="6" t="s">
        <v>413</v>
      </c>
      <c r="F328" s="6" t="s">
        <v>200</v>
      </c>
      <c r="G328" s="6" t="s">
        <v>200</v>
      </c>
      <c r="H328" s="6"/>
      <c r="I328" s="6" t="s">
        <v>684</v>
      </c>
      <c r="J328" s="6"/>
      <c r="K328" s="6" t="s">
        <v>184</v>
      </c>
      <c r="L328" s="6" t="s">
        <v>685</v>
      </c>
      <c r="M328" s="6"/>
      <c r="N328" s="6"/>
      <c r="O328" s="6" t="s">
        <v>206</v>
      </c>
      <c r="P328" s="6" t="s">
        <v>1421</v>
      </c>
      <c r="Q328" s="8" t="s">
        <v>687</v>
      </c>
    </row>
    <row r="329" customFormat="false" ht="22.35" hidden="false" customHeight="false" outlineLevel="0" collapsed="false">
      <c r="A329" s="6" t="s">
        <v>1422</v>
      </c>
      <c r="B329" s="6" t="s">
        <v>1423</v>
      </c>
      <c r="C329" s="6" t="s">
        <v>411</v>
      </c>
      <c r="D329" s="6" t="s">
        <v>690</v>
      </c>
      <c r="E329" s="6" t="s">
        <v>413</v>
      </c>
      <c r="F329" s="6" t="s">
        <v>393</v>
      </c>
      <c r="G329" s="6" t="s">
        <v>393</v>
      </c>
      <c r="H329" s="6"/>
      <c r="I329" s="6" t="s">
        <v>684</v>
      </c>
      <c r="J329" s="6"/>
      <c r="K329" s="6" t="s">
        <v>184</v>
      </c>
      <c r="L329" s="6" t="s">
        <v>685</v>
      </c>
      <c r="M329" s="6"/>
      <c r="N329" s="6"/>
      <c r="O329" s="6" t="s">
        <v>310</v>
      </c>
      <c r="P329" s="6" t="s">
        <v>1424</v>
      </c>
      <c r="Q329" s="8" t="s">
        <v>687</v>
      </c>
    </row>
    <row r="330" customFormat="false" ht="22.35" hidden="false" customHeight="false" outlineLevel="0" collapsed="false">
      <c r="A330" s="6" t="s">
        <v>1425</v>
      </c>
      <c r="B330" s="6" t="s">
        <v>1426</v>
      </c>
      <c r="C330" s="6" t="s">
        <v>411</v>
      </c>
      <c r="D330" s="6" t="s">
        <v>690</v>
      </c>
      <c r="E330" s="6" t="s">
        <v>413</v>
      </c>
      <c r="F330" s="6" t="s">
        <v>691</v>
      </c>
      <c r="G330" s="6" t="s">
        <v>691</v>
      </c>
      <c r="H330" s="6"/>
      <c r="I330" s="6" t="s">
        <v>684</v>
      </c>
      <c r="J330" s="6"/>
      <c r="K330" s="6" t="s">
        <v>184</v>
      </c>
      <c r="L330" s="6" t="s">
        <v>685</v>
      </c>
      <c r="M330" s="6"/>
      <c r="N330" s="6"/>
      <c r="O330" s="6" t="s">
        <v>310</v>
      </c>
      <c r="P330" s="6" t="s">
        <v>1427</v>
      </c>
      <c r="Q330" s="8" t="s">
        <v>687</v>
      </c>
    </row>
    <row r="331" customFormat="false" ht="22.35" hidden="false" customHeight="false" outlineLevel="0" collapsed="false">
      <c r="A331" s="6" t="s">
        <v>1428</v>
      </c>
      <c r="B331" s="6" t="s">
        <v>1429</v>
      </c>
      <c r="C331" s="6" t="s">
        <v>411</v>
      </c>
      <c r="D331" s="6" t="s">
        <v>690</v>
      </c>
      <c r="E331" s="6" t="s">
        <v>413</v>
      </c>
      <c r="F331" s="6" t="s">
        <v>691</v>
      </c>
      <c r="G331" s="6" t="s">
        <v>691</v>
      </c>
      <c r="H331" s="6"/>
      <c r="I331" s="6" t="s">
        <v>684</v>
      </c>
      <c r="J331" s="6"/>
      <c r="K331" s="6" t="s">
        <v>184</v>
      </c>
      <c r="L331" s="6" t="s">
        <v>685</v>
      </c>
      <c r="M331" s="6"/>
      <c r="N331" s="6"/>
      <c r="O331" s="6" t="s">
        <v>310</v>
      </c>
      <c r="P331" s="6" t="s">
        <v>1430</v>
      </c>
      <c r="Q331" s="8" t="s">
        <v>687</v>
      </c>
    </row>
    <row r="332" customFormat="false" ht="22.35" hidden="false" customHeight="false" outlineLevel="0" collapsed="false">
      <c r="A332" s="6" t="s">
        <v>1431</v>
      </c>
      <c r="B332" s="6" t="s">
        <v>1432</v>
      </c>
      <c r="C332" s="6" t="s">
        <v>411</v>
      </c>
      <c r="D332" s="6" t="s">
        <v>801</v>
      </c>
      <c r="E332" s="6" t="s">
        <v>413</v>
      </c>
      <c r="F332" s="6" t="s">
        <v>156</v>
      </c>
      <c r="G332" s="6" t="s">
        <v>156</v>
      </c>
      <c r="H332" s="6"/>
      <c r="I332" s="6" t="s">
        <v>684</v>
      </c>
      <c r="J332" s="6"/>
      <c r="K332" s="6" t="s">
        <v>184</v>
      </c>
      <c r="L332" s="6" t="s">
        <v>685</v>
      </c>
      <c r="M332" s="6"/>
      <c r="N332" s="6"/>
      <c r="O332" s="6" t="s">
        <v>368</v>
      </c>
      <c r="P332" s="6" t="s">
        <v>1433</v>
      </c>
      <c r="Q332" s="8" t="s">
        <v>687</v>
      </c>
    </row>
    <row r="333" customFormat="false" ht="22.35" hidden="false" customHeight="false" outlineLevel="0" collapsed="false">
      <c r="A333" s="6" t="s">
        <v>1434</v>
      </c>
      <c r="B333" s="6" t="s">
        <v>1435</v>
      </c>
      <c r="C333" s="6" t="s">
        <v>411</v>
      </c>
      <c r="D333" s="6" t="s">
        <v>801</v>
      </c>
      <c r="E333" s="6" t="s">
        <v>413</v>
      </c>
      <c r="F333" s="6" t="s">
        <v>156</v>
      </c>
      <c r="G333" s="6" t="s">
        <v>156</v>
      </c>
      <c r="H333" s="6"/>
      <c r="I333" s="6" t="s">
        <v>684</v>
      </c>
      <c r="J333" s="6"/>
      <c r="K333" s="6" t="s">
        <v>184</v>
      </c>
      <c r="L333" s="6" t="s">
        <v>685</v>
      </c>
      <c r="M333" s="6"/>
      <c r="N333" s="6"/>
      <c r="O333" s="6" t="s">
        <v>368</v>
      </c>
      <c r="P333" s="6" t="s">
        <v>1436</v>
      </c>
      <c r="Q333" s="8" t="s">
        <v>687</v>
      </c>
    </row>
    <row r="334" customFormat="false" ht="22.35" hidden="false" customHeight="false" outlineLevel="0" collapsed="false">
      <c r="A334" s="6" t="s">
        <v>1437</v>
      </c>
      <c r="B334" s="6" t="s">
        <v>1438</v>
      </c>
      <c r="C334" s="6" t="s">
        <v>411</v>
      </c>
      <c r="D334" s="6" t="s">
        <v>444</v>
      </c>
      <c r="E334" s="6" t="s">
        <v>413</v>
      </c>
      <c r="F334" s="6" t="s">
        <v>393</v>
      </c>
      <c r="G334" s="6" t="s">
        <v>393</v>
      </c>
      <c r="H334" s="6"/>
      <c r="I334" s="6" t="s">
        <v>684</v>
      </c>
      <c r="J334" s="6"/>
      <c r="K334" s="6" t="s">
        <v>184</v>
      </c>
      <c r="L334" s="6" t="s">
        <v>685</v>
      </c>
      <c r="M334" s="6"/>
      <c r="N334" s="6"/>
      <c r="O334" s="6" t="s">
        <v>451</v>
      </c>
      <c r="P334" s="6" t="s">
        <v>1439</v>
      </c>
      <c r="Q334" s="8" t="s">
        <v>687</v>
      </c>
    </row>
    <row r="335" customFormat="false" ht="22.35" hidden="false" customHeight="false" outlineLevel="0" collapsed="false">
      <c r="A335" s="6" t="s">
        <v>1440</v>
      </c>
      <c r="B335" s="6" t="s">
        <v>1441</v>
      </c>
      <c r="C335" s="6" t="s">
        <v>411</v>
      </c>
      <c r="D335" s="6" t="s">
        <v>487</v>
      </c>
      <c r="E335" s="6" t="s">
        <v>413</v>
      </c>
      <c r="F335" s="6" t="s">
        <v>500</v>
      </c>
      <c r="G335" s="6" t="s">
        <v>500</v>
      </c>
      <c r="H335" s="6"/>
      <c r="I335" s="6" t="s">
        <v>684</v>
      </c>
      <c r="J335" s="6"/>
      <c r="K335" s="6" t="s">
        <v>184</v>
      </c>
      <c r="L335" s="6" t="s">
        <v>685</v>
      </c>
      <c r="M335" s="6"/>
      <c r="N335" s="6"/>
      <c r="O335" s="6" t="s">
        <v>495</v>
      </c>
      <c r="P335" s="6" t="s">
        <v>1442</v>
      </c>
      <c r="Q335" s="8" t="s">
        <v>687</v>
      </c>
    </row>
    <row r="336" customFormat="false" ht="22.35" hidden="false" customHeight="false" outlineLevel="0" collapsed="false">
      <c r="A336" s="6" t="s">
        <v>1443</v>
      </c>
      <c r="B336" s="6" t="s">
        <v>1444</v>
      </c>
      <c r="C336" s="6" t="s">
        <v>411</v>
      </c>
      <c r="D336" s="6" t="s">
        <v>97</v>
      </c>
      <c r="E336" s="6" t="s">
        <v>413</v>
      </c>
      <c r="F336" s="6" t="s">
        <v>99</v>
      </c>
      <c r="G336" s="6" t="s">
        <v>99</v>
      </c>
      <c r="H336" s="6"/>
      <c r="I336" s="6" t="s">
        <v>684</v>
      </c>
      <c r="J336" s="6"/>
      <c r="K336" s="6" t="s">
        <v>184</v>
      </c>
      <c r="L336" s="6" t="s">
        <v>685</v>
      </c>
      <c r="M336" s="6"/>
      <c r="N336" s="6"/>
      <c r="O336" s="6" t="s">
        <v>108</v>
      </c>
      <c r="P336" s="6" t="s">
        <v>1445</v>
      </c>
      <c r="Q336" s="8" t="s">
        <v>687</v>
      </c>
    </row>
    <row r="337" customFormat="false" ht="22.35" hidden="false" customHeight="false" outlineLevel="0" collapsed="false">
      <c r="A337" s="6" t="s">
        <v>1446</v>
      </c>
      <c r="B337" s="6" t="s">
        <v>1447</v>
      </c>
      <c r="C337" s="6" t="s">
        <v>411</v>
      </c>
      <c r="D337" s="6" t="s">
        <v>690</v>
      </c>
      <c r="E337" s="6" t="s">
        <v>413</v>
      </c>
      <c r="F337" s="6" t="s">
        <v>691</v>
      </c>
      <c r="G337" s="6" t="s">
        <v>691</v>
      </c>
      <c r="H337" s="6"/>
      <c r="I337" s="6" t="s">
        <v>684</v>
      </c>
      <c r="J337" s="6"/>
      <c r="K337" s="6" t="s">
        <v>184</v>
      </c>
      <c r="L337" s="6" t="s">
        <v>685</v>
      </c>
      <c r="M337" s="6"/>
      <c r="N337" s="6"/>
      <c r="O337" s="6" t="s">
        <v>310</v>
      </c>
      <c r="P337" s="6" t="s">
        <v>1448</v>
      </c>
      <c r="Q337" s="8" t="s">
        <v>687</v>
      </c>
    </row>
    <row r="338" customFormat="false" ht="22.35" hidden="false" customHeight="false" outlineLevel="0" collapsed="false">
      <c r="A338" s="6" t="s">
        <v>1449</v>
      </c>
      <c r="B338" s="6" t="s">
        <v>1450</v>
      </c>
      <c r="C338" s="6" t="s">
        <v>411</v>
      </c>
      <c r="D338" s="6" t="s">
        <v>97</v>
      </c>
      <c r="E338" s="6" t="s">
        <v>413</v>
      </c>
      <c r="F338" s="6" t="s">
        <v>99</v>
      </c>
      <c r="G338" s="6" t="s">
        <v>99</v>
      </c>
      <c r="H338" s="6"/>
      <c r="I338" s="6" t="s">
        <v>684</v>
      </c>
      <c r="J338" s="6"/>
      <c r="K338" s="6" t="s">
        <v>184</v>
      </c>
      <c r="L338" s="6" t="s">
        <v>685</v>
      </c>
      <c r="M338" s="6"/>
      <c r="N338" s="6"/>
      <c r="O338" s="6" t="s">
        <v>108</v>
      </c>
      <c r="P338" s="6" t="s">
        <v>1451</v>
      </c>
      <c r="Q338" s="8" t="s">
        <v>687</v>
      </c>
    </row>
    <row r="339" customFormat="false" ht="22.35" hidden="false" customHeight="false" outlineLevel="0" collapsed="false">
      <c r="A339" s="6" t="s">
        <v>1452</v>
      </c>
      <c r="B339" s="6" t="s">
        <v>1453</v>
      </c>
      <c r="C339" s="6" t="s">
        <v>411</v>
      </c>
      <c r="D339" s="6" t="s">
        <v>1133</v>
      </c>
      <c r="E339" s="6" t="s">
        <v>413</v>
      </c>
      <c r="F339" s="6" t="s">
        <v>1134</v>
      </c>
      <c r="G339" s="6" t="s">
        <v>1134</v>
      </c>
      <c r="H339" s="6"/>
      <c r="I339" s="6" t="s">
        <v>684</v>
      </c>
      <c r="J339" s="6"/>
      <c r="K339" s="6" t="s">
        <v>184</v>
      </c>
      <c r="L339" s="6" t="s">
        <v>685</v>
      </c>
      <c r="M339" s="6"/>
      <c r="N339" s="6"/>
      <c r="O339" s="6" t="s">
        <v>1135</v>
      </c>
      <c r="P339" s="6" t="s">
        <v>1454</v>
      </c>
      <c r="Q339" s="8" t="s">
        <v>687</v>
      </c>
    </row>
    <row r="340" customFormat="false" ht="22.35" hidden="false" customHeight="false" outlineLevel="0" collapsed="false">
      <c r="A340" s="6" t="s">
        <v>1455</v>
      </c>
      <c r="B340" s="6" t="s">
        <v>1456</v>
      </c>
      <c r="C340" s="6" t="s">
        <v>411</v>
      </c>
      <c r="D340" s="6" t="s">
        <v>690</v>
      </c>
      <c r="E340" s="6" t="s">
        <v>413</v>
      </c>
      <c r="F340" s="6" t="s">
        <v>691</v>
      </c>
      <c r="G340" s="6" t="s">
        <v>691</v>
      </c>
      <c r="H340" s="6"/>
      <c r="I340" s="6" t="s">
        <v>684</v>
      </c>
      <c r="J340" s="6"/>
      <c r="K340" s="6" t="s">
        <v>184</v>
      </c>
      <c r="L340" s="6" t="s">
        <v>685</v>
      </c>
      <c r="M340" s="6"/>
      <c r="N340" s="6"/>
      <c r="O340" s="6" t="s">
        <v>310</v>
      </c>
      <c r="P340" s="6" t="s">
        <v>1457</v>
      </c>
      <c r="Q340" s="8" t="s">
        <v>687</v>
      </c>
    </row>
    <row r="341" customFormat="false" ht="22.35" hidden="false" customHeight="false" outlineLevel="0" collapsed="false">
      <c r="A341" s="6" t="s">
        <v>1458</v>
      </c>
      <c r="B341" s="6" t="s">
        <v>1459</v>
      </c>
      <c r="C341" s="6" t="s">
        <v>411</v>
      </c>
      <c r="D341" s="6" t="s">
        <v>690</v>
      </c>
      <c r="E341" s="6" t="s">
        <v>413</v>
      </c>
      <c r="F341" s="6" t="s">
        <v>393</v>
      </c>
      <c r="G341" s="6" t="s">
        <v>393</v>
      </c>
      <c r="H341" s="6"/>
      <c r="I341" s="6" t="s">
        <v>684</v>
      </c>
      <c r="J341" s="6"/>
      <c r="K341" s="6" t="s">
        <v>184</v>
      </c>
      <c r="L341" s="6" t="s">
        <v>685</v>
      </c>
      <c r="M341" s="6"/>
      <c r="N341" s="6"/>
      <c r="O341" s="6" t="s">
        <v>310</v>
      </c>
      <c r="P341" s="6" t="s">
        <v>1460</v>
      </c>
      <c r="Q341" s="8" t="s">
        <v>687</v>
      </c>
    </row>
    <row r="342" customFormat="false" ht="22.35" hidden="false" customHeight="false" outlineLevel="0" collapsed="false">
      <c r="A342" s="6" t="s">
        <v>1461</v>
      </c>
      <c r="B342" s="6" t="s">
        <v>1462</v>
      </c>
      <c r="C342" s="6" t="s">
        <v>411</v>
      </c>
      <c r="D342" s="6" t="s">
        <v>444</v>
      </c>
      <c r="E342" s="6" t="s">
        <v>413</v>
      </c>
      <c r="F342" s="6" t="s">
        <v>445</v>
      </c>
      <c r="G342" s="6" t="s">
        <v>445</v>
      </c>
      <c r="H342" s="6"/>
      <c r="I342" s="6" t="s">
        <v>684</v>
      </c>
      <c r="J342" s="6"/>
      <c r="K342" s="6" t="s">
        <v>184</v>
      </c>
      <c r="L342" s="6" t="s">
        <v>685</v>
      </c>
      <c r="M342" s="6"/>
      <c r="N342" s="6"/>
      <c r="O342" s="6" t="s">
        <v>451</v>
      </c>
      <c r="P342" s="6" t="s">
        <v>1463</v>
      </c>
      <c r="Q342" s="8" t="s">
        <v>687</v>
      </c>
    </row>
    <row r="343" customFormat="false" ht="32.8" hidden="false" customHeight="false" outlineLevel="0" collapsed="false">
      <c r="A343" s="6" t="s">
        <v>1464</v>
      </c>
      <c r="B343" s="6" t="s">
        <v>1465</v>
      </c>
      <c r="C343" s="6" t="s">
        <v>411</v>
      </c>
      <c r="D343" s="6" t="s">
        <v>690</v>
      </c>
      <c r="E343" s="6" t="s">
        <v>413</v>
      </c>
      <c r="F343" s="6" t="s">
        <v>336</v>
      </c>
      <c r="G343" s="6" t="s">
        <v>336</v>
      </c>
      <c r="H343" s="6"/>
      <c r="I343" s="6" t="s">
        <v>684</v>
      </c>
      <c r="J343" s="6"/>
      <c r="K343" s="6" t="s">
        <v>184</v>
      </c>
      <c r="L343" s="6" t="s">
        <v>685</v>
      </c>
      <c r="M343" s="6"/>
      <c r="N343" s="6"/>
      <c r="O343" s="6" t="s">
        <v>310</v>
      </c>
      <c r="P343" s="6" t="s">
        <v>1466</v>
      </c>
      <c r="Q343" s="8" t="s">
        <v>687</v>
      </c>
    </row>
    <row r="344" customFormat="false" ht="22.35" hidden="false" customHeight="false" outlineLevel="0" collapsed="false">
      <c r="A344" s="6" t="s">
        <v>1467</v>
      </c>
      <c r="B344" s="6" t="s">
        <v>1468</v>
      </c>
      <c r="C344" s="6" t="s">
        <v>411</v>
      </c>
      <c r="D344" s="6" t="s">
        <v>801</v>
      </c>
      <c r="E344" s="6" t="s">
        <v>413</v>
      </c>
      <c r="F344" s="6" t="s">
        <v>156</v>
      </c>
      <c r="G344" s="6" t="s">
        <v>156</v>
      </c>
      <c r="H344" s="6"/>
      <c r="I344" s="6" t="s">
        <v>684</v>
      </c>
      <c r="J344" s="6"/>
      <c r="K344" s="6" t="s">
        <v>184</v>
      </c>
      <c r="L344" s="6" t="s">
        <v>685</v>
      </c>
      <c r="M344" s="6"/>
      <c r="N344" s="6"/>
      <c r="O344" s="6" t="s">
        <v>368</v>
      </c>
      <c r="P344" s="6" t="s">
        <v>1469</v>
      </c>
      <c r="Q344" s="8" t="s">
        <v>687</v>
      </c>
    </row>
    <row r="345" customFormat="false" ht="22.35" hidden="false" customHeight="false" outlineLevel="0" collapsed="false">
      <c r="A345" s="6" t="s">
        <v>1470</v>
      </c>
      <c r="B345" s="6" t="s">
        <v>1471</v>
      </c>
      <c r="C345" s="6" t="s">
        <v>411</v>
      </c>
      <c r="D345" s="6" t="s">
        <v>801</v>
      </c>
      <c r="E345" s="6" t="s">
        <v>413</v>
      </c>
      <c r="F345" s="6" t="s">
        <v>156</v>
      </c>
      <c r="G345" s="6" t="s">
        <v>156</v>
      </c>
      <c r="H345" s="6"/>
      <c r="I345" s="6" t="s">
        <v>684</v>
      </c>
      <c r="J345" s="6"/>
      <c r="K345" s="6" t="s">
        <v>184</v>
      </c>
      <c r="L345" s="6" t="s">
        <v>685</v>
      </c>
      <c r="M345" s="6"/>
      <c r="N345" s="6"/>
      <c r="O345" s="6" t="s">
        <v>368</v>
      </c>
      <c r="P345" s="6" t="s">
        <v>1472</v>
      </c>
      <c r="Q345" s="8" t="s">
        <v>687</v>
      </c>
    </row>
    <row r="346" customFormat="false" ht="22.35" hidden="false" customHeight="false" outlineLevel="0" collapsed="false">
      <c r="A346" s="6" t="s">
        <v>1473</v>
      </c>
      <c r="B346" s="6" t="s">
        <v>1474</v>
      </c>
      <c r="C346" s="6" t="s">
        <v>411</v>
      </c>
      <c r="D346" s="6" t="s">
        <v>801</v>
      </c>
      <c r="E346" s="6" t="s">
        <v>413</v>
      </c>
      <c r="F346" s="6" t="s">
        <v>156</v>
      </c>
      <c r="G346" s="6" t="s">
        <v>156</v>
      </c>
      <c r="H346" s="6"/>
      <c r="I346" s="6" t="s">
        <v>684</v>
      </c>
      <c r="J346" s="6"/>
      <c r="K346" s="6" t="s">
        <v>184</v>
      </c>
      <c r="L346" s="6" t="s">
        <v>685</v>
      </c>
      <c r="M346" s="6"/>
      <c r="N346" s="6"/>
      <c r="O346" s="6" t="s">
        <v>368</v>
      </c>
      <c r="P346" s="6" t="s">
        <v>1475</v>
      </c>
      <c r="Q346" s="8" t="s">
        <v>687</v>
      </c>
    </row>
    <row r="347" customFormat="false" ht="22.35" hidden="false" customHeight="false" outlineLevel="0" collapsed="false">
      <c r="A347" s="6" t="s">
        <v>1476</v>
      </c>
      <c r="B347" s="6" t="s">
        <v>1477</v>
      </c>
      <c r="C347" s="6" t="s">
        <v>411</v>
      </c>
      <c r="D347" s="6" t="s">
        <v>97</v>
      </c>
      <c r="E347" s="6" t="s">
        <v>413</v>
      </c>
      <c r="F347" s="6" t="s">
        <v>99</v>
      </c>
      <c r="G347" s="6" t="s">
        <v>99</v>
      </c>
      <c r="H347" s="6"/>
      <c r="I347" s="6" t="s">
        <v>684</v>
      </c>
      <c r="J347" s="6"/>
      <c r="K347" s="6" t="s">
        <v>184</v>
      </c>
      <c r="L347" s="6" t="s">
        <v>685</v>
      </c>
      <c r="M347" s="6"/>
      <c r="N347" s="6"/>
      <c r="O347" s="6" t="s">
        <v>108</v>
      </c>
      <c r="P347" s="6" t="s">
        <v>1478</v>
      </c>
      <c r="Q347" s="8" t="s">
        <v>687</v>
      </c>
    </row>
    <row r="348" customFormat="false" ht="22.35" hidden="false" customHeight="false" outlineLevel="0" collapsed="false">
      <c r="A348" s="6" t="s">
        <v>1479</v>
      </c>
      <c r="B348" s="6" t="s">
        <v>1480</v>
      </c>
      <c r="C348" s="6" t="s">
        <v>411</v>
      </c>
      <c r="D348" s="6" t="s">
        <v>801</v>
      </c>
      <c r="E348" s="6" t="s">
        <v>413</v>
      </c>
      <c r="F348" s="6" t="s">
        <v>156</v>
      </c>
      <c r="G348" s="6" t="s">
        <v>156</v>
      </c>
      <c r="H348" s="6"/>
      <c r="I348" s="6" t="s">
        <v>684</v>
      </c>
      <c r="J348" s="6"/>
      <c r="K348" s="6" t="s">
        <v>184</v>
      </c>
      <c r="L348" s="6" t="s">
        <v>685</v>
      </c>
      <c r="M348" s="6"/>
      <c r="N348" s="6"/>
      <c r="O348" s="6" t="s">
        <v>368</v>
      </c>
      <c r="P348" s="6" t="s">
        <v>1481</v>
      </c>
      <c r="Q348" s="8" t="s">
        <v>687</v>
      </c>
    </row>
    <row r="349" customFormat="false" ht="22.35" hidden="false" customHeight="false" outlineLevel="0" collapsed="false">
      <c r="A349" s="6" t="s">
        <v>1482</v>
      </c>
      <c r="B349" s="6" t="s">
        <v>1483</v>
      </c>
      <c r="C349" s="6" t="s">
        <v>411</v>
      </c>
      <c r="D349" s="6" t="s">
        <v>690</v>
      </c>
      <c r="E349" s="6" t="s">
        <v>413</v>
      </c>
      <c r="F349" s="6" t="s">
        <v>691</v>
      </c>
      <c r="G349" s="6" t="s">
        <v>691</v>
      </c>
      <c r="H349" s="6"/>
      <c r="I349" s="6" t="s">
        <v>684</v>
      </c>
      <c r="J349" s="6"/>
      <c r="K349" s="6" t="s">
        <v>184</v>
      </c>
      <c r="L349" s="6" t="s">
        <v>685</v>
      </c>
      <c r="M349" s="6"/>
      <c r="N349" s="6"/>
      <c r="O349" s="6" t="s">
        <v>310</v>
      </c>
      <c r="P349" s="6" t="s">
        <v>1484</v>
      </c>
      <c r="Q349" s="8" t="s">
        <v>687</v>
      </c>
    </row>
    <row r="350" customFormat="false" ht="22.35" hidden="false" customHeight="false" outlineLevel="0" collapsed="false">
      <c r="A350" s="6" t="s">
        <v>1485</v>
      </c>
      <c r="B350" s="6" t="s">
        <v>1486</v>
      </c>
      <c r="C350" s="6" t="s">
        <v>411</v>
      </c>
      <c r="D350" s="6" t="s">
        <v>1133</v>
      </c>
      <c r="E350" s="6" t="s">
        <v>413</v>
      </c>
      <c r="F350" s="6" t="s">
        <v>1134</v>
      </c>
      <c r="G350" s="6" t="s">
        <v>1134</v>
      </c>
      <c r="H350" s="6"/>
      <c r="I350" s="6" t="s">
        <v>684</v>
      </c>
      <c r="J350" s="6"/>
      <c r="K350" s="6" t="s">
        <v>184</v>
      </c>
      <c r="L350" s="6" t="s">
        <v>685</v>
      </c>
      <c r="M350" s="6"/>
      <c r="N350" s="6"/>
      <c r="O350" s="6" t="s">
        <v>1135</v>
      </c>
      <c r="P350" s="6" t="s">
        <v>1487</v>
      </c>
      <c r="Q350" s="8" t="s">
        <v>687</v>
      </c>
    </row>
    <row r="351" customFormat="false" ht="22.35" hidden="false" customHeight="false" outlineLevel="0" collapsed="false">
      <c r="A351" s="6" t="s">
        <v>1488</v>
      </c>
      <c r="B351" s="6" t="s">
        <v>1489</v>
      </c>
      <c r="C351" s="6" t="s">
        <v>411</v>
      </c>
      <c r="D351" s="6" t="s">
        <v>690</v>
      </c>
      <c r="E351" s="6" t="s">
        <v>413</v>
      </c>
      <c r="F351" s="6" t="s">
        <v>562</v>
      </c>
      <c r="G351" s="6" t="s">
        <v>562</v>
      </c>
      <c r="H351" s="6"/>
      <c r="I351" s="6" t="s">
        <v>684</v>
      </c>
      <c r="J351" s="6"/>
      <c r="K351" s="6" t="s">
        <v>184</v>
      </c>
      <c r="L351" s="6" t="s">
        <v>685</v>
      </c>
      <c r="M351" s="6"/>
      <c r="N351" s="6"/>
      <c r="O351" s="6" t="s">
        <v>310</v>
      </c>
      <c r="P351" s="6" t="s">
        <v>1490</v>
      </c>
      <c r="Q351" s="8" t="s">
        <v>687</v>
      </c>
    </row>
    <row r="352" customFormat="false" ht="22.35" hidden="false" customHeight="false" outlineLevel="0" collapsed="false">
      <c r="A352" s="6" t="s">
        <v>1491</v>
      </c>
      <c r="B352" s="6" t="s">
        <v>1492</v>
      </c>
      <c r="C352" s="6" t="s">
        <v>411</v>
      </c>
      <c r="D352" s="6" t="s">
        <v>690</v>
      </c>
      <c r="E352" s="6" t="s">
        <v>413</v>
      </c>
      <c r="F352" s="6" t="s">
        <v>562</v>
      </c>
      <c r="G352" s="6" t="s">
        <v>562</v>
      </c>
      <c r="H352" s="6"/>
      <c r="I352" s="6" t="s">
        <v>684</v>
      </c>
      <c r="J352" s="6"/>
      <c r="K352" s="6" t="s">
        <v>184</v>
      </c>
      <c r="L352" s="6" t="s">
        <v>685</v>
      </c>
      <c r="M352" s="6"/>
      <c r="N352" s="6"/>
      <c r="O352" s="6" t="s">
        <v>310</v>
      </c>
      <c r="P352" s="6" t="s">
        <v>1493</v>
      </c>
      <c r="Q352" s="8" t="s">
        <v>687</v>
      </c>
    </row>
    <row r="353" customFormat="false" ht="22.35" hidden="false" customHeight="false" outlineLevel="0" collapsed="false">
      <c r="A353" s="6" t="s">
        <v>1494</v>
      </c>
      <c r="B353" s="6" t="s">
        <v>1495</v>
      </c>
      <c r="C353" s="6" t="s">
        <v>411</v>
      </c>
      <c r="D353" s="6" t="s">
        <v>578</v>
      </c>
      <c r="E353" s="6" t="s">
        <v>413</v>
      </c>
      <c r="F353" s="6" t="s">
        <v>200</v>
      </c>
      <c r="G353" s="6" t="s">
        <v>200</v>
      </c>
      <c r="H353" s="6"/>
      <c r="I353" s="6" t="s">
        <v>684</v>
      </c>
      <c r="J353" s="6"/>
      <c r="K353" s="6" t="s">
        <v>184</v>
      </c>
      <c r="L353" s="6" t="s">
        <v>685</v>
      </c>
      <c r="M353" s="6"/>
      <c r="N353" s="6"/>
      <c r="O353" s="6" t="s">
        <v>206</v>
      </c>
      <c r="P353" s="6" t="s">
        <v>1496</v>
      </c>
      <c r="Q353" s="8" t="s">
        <v>687</v>
      </c>
    </row>
    <row r="354" customFormat="false" ht="22.35" hidden="false" customHeight="false" outlineLevel="0" collapsed="false">
      <c r="A354" s="6" t="s">
        <v>1497</v>
      </c>
      <c r="B354" s="6" t="s">
        <v>1498</v>
      </c>
      <c r="C354" s="6" t="s">
        <v>411</v>
      </c>
      <c r="D354" s="6" t="s">
        <v>578</v>
      </c>
      <c r="E354" s="6" t="s">
        <v>413</v>
      </c>
      <c r="F354" s="6" t="s">
        <v>200</v>
      </c>
      <c r="G354" s="6" t="s">
        <v>200</v>
      </c>
      <c r="H354" s="6"/>
      <c r="I354" s="6" t="s">
        <v>684</v>
      </c>
      <c r="J354" s="6"/>
      <c r="K354" s="6" t="s">
        <v>184</v>
      </c>
      <c r="L354" s="6" t="s">
        <v>685</v>
      </c>
      <c r="M354" s="6"/>
      <c r="N354" s="6"/>
      <c r="O354" s="6" t="s">
        <v>206</v>
      </c>
      <c r="P354" s="6" t="s">
        <v>1499</v>
      </c>
      <c r="Q354" s="8" t="s">
        <v>687</v>
      </c>
    </row>
    <row r="355" customFormat="false" ht="22.35" hidden="false" customHeight="false" outlineLevel="0" collapsed="false">
      <c r="A355" s="6" t="s">
        <v>1500</v>
      </c>
      <c r="B355" s="6" t="s">
        <v>1501</v>
      </c>
      <c r="C355" s="6" t="s">
        <v>411</v>
      </c>
      <c r="D355" s="6" t="s">
        <v>690</v>
      </c>
      <c r="E355" s="6" t="s">
        <v>413</v>
      </c>
      <c r="F355" s="6" t="s">
        <v>562</v>
      </c>
      <c r="G355" s="6" t="s">
        <v>562</v>
      </c>
      <c r="H355" s="6"/>
      <c r="I355" s="6" t="s">
        <v>684</v>
      </c>
      <c r="J355" s="6"/>
      <c r="K355" s="6" t="s">
        <v>184</v>
      </c>
      <c r="L355" s="6" t="s">
        <v>685</v>
      </c>
      <c r="M355" s="6"/>
      <c r="N355" s="6"/>
      <c r="O355" s="6" t="s">
        <v>310</v>
      </c>
      <c r="P355" s="6" t="s">
        <v>1502</v>
      </c>
      <c r="Q355" s="8" t="s">
        <v>687</v>
      </c>
    </row>
    <row r="356" customFormat="false" ht="22.35" hidden="false" customHeight="false" outlineLevel="0" collapsed="false">
      <c r="A356" s="6" t="s">
        <v>1503</v>
      </c>
      <c r="B356" s="6" t="s">
        <v>1504</v>
      </c>
      <c r="C356" s="6" t="s">
        <v>411</v>
      </c>
      <c r="D356" s="6" t="s">
        <v>578</v>
      </c>
      <c r="E356" s="6" t="s">
        <v>413</v>
      </c>
      <c r="F356" s="6" t="s">
        <v>200</v>
      </c>
      <c r="G356" s="6" t="s">
        <v>200</v>
      </c>
      <c r="H356" s="6"/>
      <c r="I356" s="6" t="s">
        <v>684</v>
      </c>
      <c r="J356" s="6"/>
      <c r="K356" s="6" t="s">
        <v>184</v>
      </c>
      <c r="L356" s="6" t="s">
        <v>685</v>
      </c>
      <c r="M356" s="6"/>
      <c r="N356" s="6"/>
      <c r="O356" s="6" t="s">
        <v>206</v>
      </c>
      <c r="P356" s="6" t="s">
        <v>1505</v>
      </c>
      <c r="Q356" s="8" t="s">
        <v>687</v>
      </c>
    </row>
    <row r="357" customFormat="false" ht="22.35" hidden="false" customHeight="false" outlineLevel="0" collapsed="false">
      <c r="A357" s="6" t="s">
        <v>1506</v>
      </c>
      <c r="B357" s="6" t="s">
        <v>1507</v>
      </c>
      <c r="C357" s="6" t="s">
        <v>411</v>
      </c>
      <c r="D357" s="6" t="s">
        <v>690</v>
      </c>
      <c r="E357" s="6" t="s">
        <v>413</v>
      </c>
      <c r="F357" s="6" t="s">
        <v>691</v>
      </c>
      <c r="G357" s="6" t="s">
        <v>691</v>
      </c>
      <c r="H357" s="6"/>
      <c r="I357" s="6" t="s">
        <v>684</v>
      </c>
      <c r="J357" s="6"/>
      <c r="K357" s="6" t="s">
        <v>184</v>
      </c>
      <c r="L357" s="6" t="s">
        <v>685</v>
      </c>
      <c r="M357" s="6"/>
      <c r="N357" s="6"/>
      <c r="O357" s="6" t="s">
        <v>310</v>
      </c>
      <c r="P357" s="6" t="s">
        <v>1508</v>
      </c>
      <c r="Q357" s="8" t="s">
        <v>687</v>
      </c>
    </row>
    <row r="358" customFormat="false" ht="22.35" hidden="false" customHeight="false" outlineLevel="0" collapsed="false">
      <c r="A358" s="6" t="s">
        <v>1509</v>
      </c>
      <c r="B358" s="6" t="s">
        <v>1510</v>
      </c>
      <c r="C358" s="6" t="s">
        <v>411</v>
      </c>
      <c r="D358" s="6" t="s">
        <v>690</v>
      </c>
      <c r="E358" s="6" t="s">
        <v>413</v>
      </c>
      <c r="F358" s="6" t="s">
        <v>479</v>
      </c>
      <c r="G358" s="6" t="s">
        <v>479</v>
      </c>
      <c r="H358" s="6"/>
      <c r="I358" s="6" t="s">
        <v>684</v>
      </c>
      <c r="J358" s="6"/>
      <c r="K358" s="6" t="s">
        <v>184</v>
      </c>
      <c r="L358" s="6" t="s">
        <v>685</v>
      </c>
      <c r="M358" s="6"/>
      <c r="N358" s="6"/>
      <c r="O358" s="6" t="s">
        <v>310</v>
      </c>
      <c r="P358" s="6" t="s">
        <v>1511</v>
      </c>
      <c r="Q358" s="8" t="s">
        <v>687</v>
      </c>
    </row>
    <row r="359" customFormat="false" ht="22.35" hidden="false" customHeight="false" outlineLevel="0" collapsed="false">
      <c r="A359" s="6" t="s">
        <v>1512</v>
      </c>
      <c r="B359" s="6" t="s">
        <v>1513</v>
      </c>
      <c r="C359" s="6" t="s">
        <v>411</v>
      </c>
      <c r="D359" s="6" t="s">
        <v>690</v>
      </c>
      <c r="E359" s="6" t="s">
        <v>413</v>
      </c>
      <c r="F359" s="6" t="s">
        <v>479</v>
      </c>
      <c r="G359" s="6" t="s">
        <v>479</v>
      </c>
      <c r="H359" s="6"/>
      <c r="I359" s="6" t="s">
        <v>684</v>
      </c>
      <c r="J359" s="6"/>
      <c r="K359" s="6" t="s">
        <v>184</v>
      </c>
      <c r="L359" s="6" t="s">
        <v>685</v>
      </c>
      <c r="M359" s="6"/>
      <c r="N359" s="6"/>
      <c r="O359" s="6" t="s">
        <v>310</v>
      </c>
      <c r="P359" s="6" t="s">
        <v>1514</v>
      </c>
      <c r="Q359" s="8" t="s">
        <v>687</v>
      </c>
    </row>
    <row r="360" customFormat="false" ht="22.35" hidden="false" customHeight="false" outlineLevel="0" collapsed="false">
      <c r="A360" s="6" t="s">
        <v>1515</v>
      </c>
      <c r="B360" s="6" t="s">
        <v>1516</v>
      </c>
      <c r="C360" s="6" t="s">
        <v>411</v>
      </c>
      <c r="D360" s="6" t="s">
        <v>578</v>
      </c>
      <c r="E360" s="6" t="s">
        <v>413</v>
      </c>
      <c r="F360" s="6" t="s">
        <v>210</v>
      </c>
      <c r="G360" s="6" t="s">
        <v>210</v>
      </c>
      <c r="H360" s="6"/>
      <c r="I360" s="6" t="s">
        <v>684</v>
      </c>
      <c r="J360" s="6"/>
      <c r="K360" s="6" t="s">
        <v>184</v>
      </c>
      <c r="L360" s="6" t="s">
        <v>685</v>
      </c>
      <c r="M360" s="6"/>
      <c r="N360" s="6"/>
      <c r="O360" s="6" t="s">
        <v>206</v>
      </c>
      <c r="P360" s="6" t="s">
        <v>1517</v>
      </c>
      <c r="Q360" s="8" t="s">
        <v>687</v>
      </c>
    </row>
    <row r="361" customFormat="false" ht="22.35" hidden="false" customHeight="false" outlineLevel="0" collapsed="false">
      <c r="A361" s="6" t="s">
        <v>1518</v>
      </c>
      <c r="B361" s="6" t="s">
        <v>1519</v>
      </c>
      <c r="C361" s="6" t="s">
        <v>411</v>
      </c>
      <c r="D361" s="6" t="s">
        <v>750</v>
      </c>
      <c r="E361" s="6" t="s">
        <v>413</v>
      </c>
      <c r="F361" s="6" t="s">
        <v>156</v>
      </c>
      <c r="G361" s="6" t="s">
        <v>156</v>
      </c>
      <c r="H361" s="6"/>
      <c r="I361" s="6" t="s">
        <v>684</v>
      </c>
      <c r="J361" s="6"/>
      <c r="K361" s="6" t="s">
        <v>184</v>
      </c>
      <c r="L361" s="6" t="s">
        <v>685</v>
      </c>
      <c r="M361" s="6"/>
      <c r="N361" s="6"/>
      <c r="O361" s="6" t="s">
        <v>163</v>
      </c>
      <c r="P361" s="6" t="s">
        <v>1520</v>
      </c>
      <c r="Q361" s="8" t="s">
        <v>687</v>
      </c>
    </row>
    <row r="362" customFormat="false" ht="22.35" hidden="false" customHeight="false" outlineLevel="0" collapsed="false">
      <c r="A362" s="6" t="s">
        <v>1521</v>
      </c>
      <c r="B362" s="6" t="s">
        <v>1522</v>
      </c>
      <c r="C362" s="6" t="s">
        <v>411</v>
      </c>
      <c r="D362" s="6" t="s">
        <v>801</v>
      </c>
      <c r="E362" s="6" t="s">
        <v>413</v>
      </c>
      <c r="F362" s="6" t="s">
        <v>156</v>
      </c>
      <c r="G362" s="6" t="s">
        <v>156</v>
      </c>
      <c r="H362" s="6"/>
      <c r="I362" s="6" t="s">
        <v>684</v>
      </c>
      <c r="J362" s="6"/>
      <c r="K362" s="6" t="s">
        <v>184</v>
      </c>
      <c r="L362" s="6" t="s">
        <v>685</v>
      </c>
      <c r="M362" s="6"/>
      <c r="N362" s="6"/>
      <c r="O362" s="6" t="s">
        <v>368</v>
      </c>
      <c r="P362" s="6" t="s">
        <v>1523</v>
      </c>
      <c r="Q362" s="8" t="s">
        <v>687</v>
      </c>
    </row>
    <row r="363" customFormat="false" ht="22.35" hidden="false" customHeight="false" outlineLevel="0" collapsed="false">
      <c r="A363" s="6" t="s">
        <v>1524</v>
      </c>
      <c r="B363" s="6" t="s">
        <v>1525</v>
      </c>
      <c r="C363" s="6" t="s">
        <v>411</v>
      </c>
      <c r="D363" s="6" t="s">
        <v>444</v>
      </c>
      <c r="E363" s="6" t="s">
        <v>413</v>
      </c>
      <c r="F363" s="6" t="s">
        <v>393</v>
      </c>
      <c r="G363" s="6" t="s">
        <v>393</v>
      </c>
      <c r="H363" s="6"/>
      <c r="I363" s="6" t="s">
        <v>684</v>
      </c>
      <c r="J363" s="6"/>
      <c r="K363" s="6" t="s">
        <v>184</v>
      </c>
      <c r="L363" s="6" t="s">
        <v>685</v>
      </c>
      <c r="M363" s="6"/>
      <c r="N363" s="6"/>
      <c r="O363" s="6" t="s">
        <v>451</v>
      </c>
      <c r="P363" s="6" t="s">
        <v>1526</v>
      </c>
      <c r="Q363" s="8" t="s">
        <v>687</v>
      </c>
    </row>
    <row r="364" customFormat="false" ht="22.35" hidden="false" customHeight="false" outlineLevel="0" collapsed="false">
      <c r="A364" s="6" t="s">
        <v>1527</v>
      </c>
      <c r="B364" s="6" t="s">
        <v>1528</v>
      </c>
      <c r="C364" s="6" t="s">
        <v>411</v>
      </c>
      <c r="D364" s="6" t="s">
        <v>444</v>
      </c>
      <c r="E364" s="6" t="s">
        <v>413</v>
      </c>
      <c r="F364" s="6" t="s">
        <v>393</v>
      </c>
      <c r="G364" s="6" t="s">
        <v>393</v>
      </c>
      <c r="H364" s="6"/>
      <c r="I364" s="6" t="s">
        <v>684</v>
      </c>
      <c r="J364" s="6"/>
      <c r="K364" s="6" t="s">
        <v>184</v>
      </c>
      <c r="L364" s="6" t="s">
        <v>685</v>
      </c>
      <c r="M364" s="6"/>
      <c r="N364" s="6"/>
      <c r="O364" s="6" t="s">
        <v>451</v>
      </c>
      <c r="P364" s="6" t="s">
        <v>1529</v>
      </c>
      <c r="Q364" s="8" t="s">
        <v>687</v>
      </c>
    </row>
    <row r="365" customFormat="false" ht="22.35" hidden="false" customHeight="false" outlineLevel="0" collapsed="false">
      <c r="A365" s="6" t="s">
        <v>1530</v>
      </c>
      <c r="B365" s="6" t="s">
        <v>1531</v>
      </c>
      <c r="C365" s="6" t="s">
        <v>411</v>
      </c>
      <c r="D365" s="6" t="s">
        <v>578</v>
      </c>
      <c r="E365" s="6" t="s">
        <v>413</v>
      </c>
      <c r="F365" s="6" t="s">
        <v>210</v>
      </c>
      <c r="G365" s="6" t="s">
        <v>210</v>
      </c>
      <c r="H365" s="6"/>
      <c r="I365" s="6" t="s">
        <v>684</v>
      </c>
      <c r="J365" s="6"/>
      <c r="K365" s="6" t="s">
        <v>184</v>
      </c>
      <c r="L365" s="6" t="s">
        <v>685</v>
      </c>
      <c r="M365" s="6"/>
      <c r="N365" s="6"/>
      <c r="O365" s="6" t="s">
        <v>206</v>
      </c>
      <c r="P365" s="6" t="s">
        <v>1532</v>
      </c>
      <c r="Q365" s="8" t="s">
        <v>687</v>
      </c>
    </row>
    <row r="366" customFormat="false" ht="22.35" hidden="false" customHeight="false" outlineLevel="0" collapsed="false">
      <c r="A366" s="6" t="s">
        <v>1533</v>
      </c>
      <c r="B366" s="6" t="s">
        <v>1534</v>
      </c>
      <c r="C366" s="6" t="s">
        <v>411</v>
      </c>
      <c r="D366" s="6" t="s">
        <v>578</v>
      </c>
      <c r="E366" s="6" t="s">
        <v>413</v>
      </c>
      <c r="F366" s="6" t="s">
        <v>210</v>
      </c>
      <c r="G366" s="6" t="s">
        <v>210</v>
      </c>
      <c r="H366" s="6"/>
      <c r="I366" s="6" t="s">
        <v>684</v>
      </c>
      <c r="J366" s="6"/>
      <c r="K366" s="6" t="s">
        <v>184</v>
      </c>
      <c r="L366" s="6" t="s">
        <v>685</v>
      </c>
      <c r="M366" s="6"/>
      <c r="N366" s="6"/>
      <c r="O366" s="6" t="s">
        <v>206</v>
      </c>
      <c r="P366" s="6" t="s">
        <v>1535</v>
      </c>
      <c r="Q366" s="8" t="s">
        <v>687</v>
      </c>
    </row>
    <row r="367" customFormat="false" ht="22.35" hidden="false" customHeight="false" outlineLevel="0" collapsed="false">
      <c r="A367" s="6" t="s">
        <v>1536</v>
      </c>
      <c r="B367" s="6" t="s">
        <v>1537</v>
      </c>
      <c r="C367" s="6" t="s">
        <v>411</v>
      </c>
      <c r="D367" s="6" t="s">
        <v>578</v>
      </c>
      <c r="E367" s="6" t="s">
        <v>413</v>
      </c>
      <c r="F367" s="6" t="s">
        <v>210</v>
      </c>
      <c r="G367" s="6" t="s">
        <v>210</v>
      </c>
      <c r="H367" s="6"/>
      <c r="I367" s="6" t="s">
        <v>684</v>
      </c>
      <c r="J367" s="6"/>
      <c r="K367" s="6" t="s">
        <v>184</v>
      </c>
      <c r="L367" s="6" t="s">
        <v>685</v>
      </c>
      <c r="M367" s="6"/>
      <c r="N367" s="6"/>
      <c r="O367" s="6" t="s">
        <v>206</v>
      </c>
      <c r="P367" s="6" t="s">
        <v>1538</v>
      </c>
      <c r="Q367" s="8" t="s">
        <v>687</v>
      </c>
    </row>
    <row r="368" customFormat="false" ht="22.35" hidden="false" customHeight="false" outlineLevel="0" collapsed="false">
      <c r="A368" s="6" t="s">
        <v>1539</v>
      </c>
      <c r="B368" s="6" t="s">
        <v>1540</v>
      </c>
      <c r="C368" s="6" t="s">
        <v>411</v>
      </c>
      <c r="D368" s="6" t="s">
        <v>690</v>
      </c>
      <c r="E368" s="6" t="s">
        <v>413</v>
      </c>
      <c r="F368" s="6" t="s">
        <v>393</v>
      </c>
      <c r="G368" s="6" t="s">
        <v>393</v>
      </c>
      <c r="H368" s="6"/>
      <c r="I368" s="6" t="s">
        <v>684</v>
      </c>
      <c r="J368" s="6"/>
      <c r="K368" s="6" t="s">
        <v>184</v>
      </c>
      <c r="L368" s="6" t="s">
        <v>685</v>
      </c>
      <c r="M368" s="6"/>
      <c r="N368" s="6"/>
      <c r="O368" s="6" t="s">
        <v>310</v>
      </c>
      <c r="P368" s="6" t="s">
        <v>1541</v>
      </c>
      <c r="Q368" s="8" t="s">
        <v>687</v>
      </c>
    </row>
    <row r="369" customFormat="false" ht="22.35" hidden="false" customHeight="false" outlineLevel="0" collapsed="false">
      <c r="A369" s="6" t="s">
        <v>1542</v>
      </c>
      <c r="B369" s="6" t="s">
        <v>1543</v>
      </c>
      <c r="C369" s="6" t="s">
        <v>411</v>
      </c>
      <c r="D369" s="6" t="s">
        <v>97</v>
      </c>
      <c r="E369" s="6" t="s">
        <v>413</v>
      </c>
      <c r="F369" s="6" t="s">
        <v>99</v>
      </c>
      <c r="G369" s="6" t="s">
        <v>99</v>
      </c>
      <c r="H369" s="6"/>
      <c r="I369" s="6" t="s">
        <v>684</v>
      </c>
      <c r="J369" s="6"/>
      <c r="K369" s="6" t="s">
        <v>184</v>
      </c>
      <c r="L369" s="6" t="s">
        <v>685</v>
      </c>
      <c r="M369" s="6"/>
      <c r="N369" s="6"/>
      <c r="O369" s="6" t="s">
        <v>108</v>
      </c>
      <c r="P369" s="6" t="s">
        <v>1544</v>
      </c>
      <c r="Q369" s="8" t="s">
        <v>687</v>
      </c>
    </row>
    <row r="370" customFormat="false" ht="22.35" hidden="false" customHeight="false" outlineLevel="0" collapsed="false">
      <c r="A370" s="6" t="s">
        <v>1545</v>
      </c>
      <c r="B370" s="6" t="s">
        <v>1546</v>
      </c>
      <c r="C370" s="6" t="s">
        <v>411</v>
      </c>
      <c r="D370" s="6" t="s">
        <v>578</v>
      </c>
      <c r="E370" s="6" t="s">
        <v>413</v>
      </c>
      <c r="F370" s="6" t="s">
        <v>200</v>
      </c>
      <c r="G370" s="6" t="s">
        <v>200</v>
      </c>
      <c r="H370" s="6"/>
      <c r="I370" s="6" t="s">
        <v>684</v>
      </c>
      <c r="J370" s="6"/>
      <c r="K370" s="6" t="s">
        <v>184</v>
      </c>
      <c r="L370" s="6" t="s">
        <v>685</v>
      </c>
      <c r="M370" s="6"/>
      <c r="N370" s="6"/>
      <c r="O370" s="6" t="s">
        <v>206</v>
      </c>
      <c r="P370" s="6" t="s">
        <v>1547</v>
      </c>
      <c r="Q370" s="8" t="s">
        <v>687</v>
      </c>
    </row>
    <row r="371" customFormat="false" ht="22.35" hidden="false" customHeight="false" outlineLevel="0" collapsed="false">
      <c r="A371" s="6" t="s">
        <v>1548</v>
      </c>
      <c r="B371" s="6" t="s">
        <v>1549</v>
      </c>
      <c r="C371" s="6" t="s">
        <v>411</v>
      </c>
      <c r="D371" s="6" t="s">
        <v>690</v>
      </c>
      <c r="E371" s="6" t="s">
        <v>413</v>
      </c>
      <c r="F371" s="6" t="s">
        <v>393</v>
      </c>
      <c r="G371" s="6" t="s">
        <v>393</v>
      </c>
      <c r="H371" s="6"/>
      <c r="I371" s="6" t="s">
        <v>684</v>
      </c>
      <c r="J371" s="6"/>
      <c r="K371" s="6" t="s">
        <v>184</v>
      </c>
      <c r="L371" s="6" t="s">
        <v>685</v>
      </c>
      <c r="M371" s="6"/>
      <c r="N371" s="6"/>
      <c r="O371" s="6" t="s">
        <v>310</v>
      </c>
      <c r="P371" s="6" t="s">
        <v>1550</v>
      </c>
      <c r="Q371" s="8" t="s">
        <v>687</v>
      </c>
    </row>
    <row r="372" customFormat="false" ht="22.35" hidden="false" customHeight="false" outlineLevel="0" collapsed="false">
      <c r="A372" s="6" t="s">
        <v>1551</v>
      </c>
      <c r="B372" s="6" t="s">
        <v>1552</v>
      </c>
      <c r="C372" s="6" t="s">
        <v>411</v>
      </c>
      <c r="D372" s="6" t="s">
        <v>690</v>
      </c>
      <c r="E372" s="6" t="s">
        <v>413</v>
      </c>
      <c r="F372" s="6" t="s">
        <v>393</v>
      </c>
      <c r="G372" s="6" t="s">
        <v>393</v>
      </c>
      <c r="H372" s="6"/>
      <c r="I372" s="6" t="s">
        <v>684</v>
      </c>
      <c r="J372" s="6"/>
      <c r="K372" s="6" t="s">
        <v>184</v>
      </c>
      <c r="L372" s="6" t="s">
        <v>685</v>
      </c>
      <c r="M372" s="6"/>
      <c r="N372" s="6"/>
      <c r="O372" s="6" t="s">
        <v>310</v>
      </c>
      <c r="P372" s="6" t="s">
        <v>1553</v>
      </c>
      <c r="Q372" s="8" t="s">
        <v>687</v>
      </c>
    </row>
    <row r="373" customFormat="false" ht="22.35" hidden="false" customHeight="false" outlineLevel="0" collapsed="false">
      <c r="A373" s="6" t="s">
        <v>1554</v>
      </c>
      <c r="B373" s="6" t="s">
        <v>1555</v>
      </c>
      <c r="C373" s="6" t="s">
        <v>411</v>
      </c>
      <c r="D373" s="6" t="s">
        <v>750</v>
      </c>
      <c r="E373" s="6" t="s">
        <v>413</v>
      </c>
      <c r="F373" s="6" t="s">
        <v>156</v>
      </c>
      <c r="G373" s="6" t="s">
        <v>156</v>
      </c>
      <c r="H373" s="6"/>
      <c r="I373" s="6" t="s">
        <v>684</v>
      </c>
      <c r="J373" s="6"/>
      <c r="K373" s="6" t="s">
        <v>184</v>
      </c>
      <c r="L373" s="6" t="s">
        <v>685</v>
      </c>
      <c r="M373" s="6"/>
      <c r="N373" s="6"/>
      <c r="O373" s="6" t="s">
        <v>163</v>
      </c>
      <c r="P373" s="6" t="s">
        <v>1556</v>
      </c>
      <c r="Q373" s="8" t="s">
        <v>687</v>
      </c>
    </row>
    <row r="374" customFormat="false" ht="22.35" hidden="false" customHeight="false" outlineLevel="0" collapsed="false">
      <c r="A374" s="6" t="s">
        <v>1557</v>
      </c>
      <c r="B374" s="6" t="s">
        <v>1558</v>
      </c>
      <c r="C374" s="6" t="s">
        <v>411</v>
      </c>
      <c r="D374" s="6" t="s">
        <v>750</v>
      </c>
      <c r="E374" s="6" t="s">
        <v>413</v>
      </c>
      <c r="F374" s="6" t="s">
        <v>156</v>
      </c>
      <c r="G374" s="6" t="s">
        <v>156</v>
      </c>
      <c r="H374" s="6"/>
      <c r="I374" s="6" t="s">
        <v>684</v>
      </c>
      <c r="J374" s="6"/>
      <c r="K374" s="6" t="s">
        <v>184</v>
      </c>
      <c r="L374" s="6" t="s">
        <v>685</v>
      </c>
      <c r="M374" s="6"/>
      <c r="N374" s="6"/>
      <c r="O374" s="6" t="s">
        <v>163</v>
      </c>
      <c r="P374" s="6" t="s">
        <v>1559</v>
      </c>
      <c r="Q374" s="8" t="s">
        <v>687</v>
      </c>
    </row>
    <row r="375" customFormat="false" ht="22.35" hidden="false" customHeight="false" outlineLevel="0" collapsed="false">
      <c r="A375" s="6" t="s">
        <v>1560</v>
      </c>
      <c r="B375" s="6" t="s">
        <v>1561</v>
      </c>
      <c r="C375" s="6" t="s">
        <v>411</v>
      </c>
      <c r="D375" s="6" t="s">
        <v>690</v>
      </c>
      <c r="E375" s="6" t="s">
        <v>413</v>
      </c>
      <c r="F375" s="6" t="s">
        <v>562</v>
      </c>
      <c r="G375" s="6" t="s">
        <v>562</v>
      </c>
      <c r="H375" s="6"/>
      <c r="I375" s="6" t="s">
        <v>684</v>
      </c>
      <c r="J375" s="6"/>
      <c r="K375" s="6" t="s">
        <v>184</v>
      </c>
      <c r="L375" s="6" t="s">
        <v>685</v>
      </c>
      <c r="M375" s="6"/>
      <c r="N375" s="6"/>
      <c r="O375" s="6" t="s">
        <v>310</v>
      </c>
      <c r="P375" s="6" t="s">
        <v>1562</v>
      </c>
      <c r="Q375" s="8" t="s">
        <v>687</v>
      </c>
    </row>
    <row r="376" customFormat="false" ht="22.35" hidden="false" customHeight="false" outlineLevel="0" collapsed="false">
      <c r="A376" s="6" t="s">
        <v>1563</v>
      </c>
      <c r="B376" s="6" t="s">
        <v>1564</v>
      </c>
      <c r="C376" s="6" t="s">
        <v>411</v>
      </c>
      <c r="D376" s="6" t="s">
        <v>1023</v>
      </c>
      <c r="E376" s="6" t="s">
        <v>413</v>
      </c>
      <c r="F376" s="6" t="s">
        <v>1024</v>
      </c>
      <c r="G376" s="6" t="s">
        <v>1024</v>
      </c>
      <c r="H376" s="6"/>
      <c r="I376" s="6" t="s">
        <v>684</v>
      </c>
      <c r="J376" s="6"/>
      <c r="K376" s="6" t="s">
        <v>184</v>
      </c>
      <c r="L376" s="6" t="s">
        <v>685</v>
      </c>
      <c r="M376" s="6"/>
      <c r="N376" s="6"/>
      <c r="O376" s="6" t="s">
        <v>518</v>
      </c>
      <c r="P376" s="6" t="s">
        <v>1565</v>
      </c>
      <c r="Q376" s="8" t="s">
        <v>687</v>
      </c>
    </row>
    <row r="377" customFormat="false" ht="22.35" hidden="false" customHeight="false" outlineLevel="0" collapsed="false">
      <c r="A377" s="6" t="s">
        <v>1566</v>
      </c>
      <c r="B377" s="6" t="s">
        <v>1567</v>
      </c>
      <c r="C377" s="6" t="s">
        <v>411</v>
      </c>
      <c r="D377" s="6" t="s">
        <v>1133</v>
      </c>
      <c r="E377" s="6" t="s">
        <v>413</v>
      </c>
      <c r="F377" s="6" t="s">
        <v>1134</v>
      </c>
      <c r="G377" s="6" t="s">
        <v>1134</v>
      </c>
      <c r="H377" s="6"/>
      <c r="I377" s="6" t="s">
        <v>684</v>
      </c>
      <c r="J377" s="6"/>
      <c r="K377" s="6" t="s">
        <v>184</v>
      </c>
      <c r="L377" s="6" t="s">
        <v>685</v>
      </c>
      <c r="M377" s="6"/>
      <c r="N377" s="6"/>
      <c r="O377" s="6" t="s">
        <v>1135</v>
      </c>
      <c r="P377" s="6" t="s">
        <v>1568</v>
      </c>
      <c r="Q377" s="8" t="s">
        <v>687</v>
      </c>
    </row>
    <row r="378" customFormat="false" ht="22.35" hidden="false" customHeight="false" outlineLevel="0" collapsed="false">
      <c r="A378" s="6" t="s">
        <v>1569</v>
      </c>
      <c r="B378" s="6" t="s">
        <v>1570</v>
      </c>
      <c r="C378" s="6" t="s">
        <v>411</v>
      </c>
      <c r="D378" s="6" t="s">
        <v>1023</v>
      </c>
      <c r="E378" s="6" t="s">
        <v>413</v>
      </c>
      <c r="F378" s="6" t="s">
        <v>1024</v>
      </c>
      <c r="G378" s="6" t="s">
        <v>1024</v>
      </c>
      <c r="H378" s="6"/>
      <c r="I378" s="6" t="s">
        <v>684</v>
      </c>
      <c r="J378" s="6"/>
      <c r="K378" s="6" t="s">
        <v>184</v>
      </c>
      <c r="L378" s="6" t="s">
        <v>685</v>
      </c>
      <c r="M378" s="6"/>
      <c r="N378" s="6"/>
      <c r="O378" s="6" t="s">
        <v>518</v>
      </c>
      <c r="P378" s="6" t="s">
        <v>1571</v>
      </c>
      <c r="Q378" s="8" t="s">
        <v>687</v>
      </c>
    </row>
    <row r="379" customFormat="false" ht="22.35" hidden="false" customHeight="false" outlineLevel="0" collapsed="false">
      <c r="A379" s="6" t="s">
        <v>1572</v>
      </c>
      <c r="B379" s="6" t="s">
        <v>1573</v>
      </c>
      <c r="C379" s="6" t="s">
        <v>411</v>
      </c>
      <c r="D379" s="6" t="s">
        <v>1023</v>
      </c>
      <c r="E379" s="6" t="s">
        <v>413</v>
      </c>
      <c r="F379" s="6" t="s">
        <v>1024</v>
      </c>
      <c r="G379" s="6" t="s">
        <v>1024</v>
      </c>
      <c r="H379" s="6"/>
      <c r="I379" s="6" t="s">
        <v>684</v>
      </c>
      <c r="J379" s="6"/>
      <c r="K379" s="6" t="s">
        <v>184</v>
      </c>
      <c r="L379" s="6" t="s">
        <v>685</v>
      </c>
      <c r="M379" s="6"/>
      <c r="N379" s="6"/>
      <c r="O379" s="6" t="s">
        <v>518</v>
      </c>
      <c r="P379" s="6" t="s">
        <v>1574</v>
      </c>
      <c r="Q379" s="8" t="s">
        <v>687</v>
      </c>
    </row>
    <row r="380" customFormat="false" ht="22.35" hidden="false" customHeight="false" outlineLevel="0" collapsed="false">
      <c r="A380" s="6" t="s">
        <v>1575</v>
      </c>
      <c r="B380" s="6" t="s">
        <v>1576</v>
      </c>
      <c r="C380" s="6" t="s">
        <v>411</v>
      </c>
      <c r="D380" s="6" t="s">
        <v>97</v>
      </c>
      <c r="E380" s="6" t="s">
        <v>413</v>
      </c>
      <c r="F380" s="6" t="s">
        <v>99</v>
      </c>
      <c r="G380" s="6" t="s">
        <v>99</v>
      </c>
      <c r="H380" s="6"/>
      <c r="I380" s="6" t="s">
        <v>684</v>
      </c>
      <c r="J380" s="6"/>
      <c r="K380" s="6" t="s">
        <v>184</v>
      </c>
      <c r="L380" s="6" t="s">
        <v>685</v>
      </c>
      <c r="M380" s="6"/>
      <c r="N380" s="6"/>
      <c r="O380" s="6" t="s">
        <v>108</v>
      </c>
      <c r="P380" s="6" t="s">
        <v>1577</v>
      </c>
      <c r="Q380" s="8" t="s">
        <v>687</v>
      </c>
    </row>
    <row r="381" customFormat="false" ht="22.35" hidden="false" customHeight="false" outlineLevel="0" collapsed="false">
      <c r="A381" s="6" t="s">
        <v>1578</v>
      </c>
      <c r="B381" s="6" t="s">
        <v>1579</v>
      </c>
      <c r="C381" s="6" t="s">
        <v>411</v>
      </c>
      <c r="D381" s="6" t="s">
        <v>690</v>
      </c>
      <c r="E381" s="6" t="s">
        <v>413</v>
      </c>
      <c r="F381" s="6" t="s">
        <v>562</v>
      </c>
      <c r="G381" s="6" t="s">
        <v>562</v>
      </c>
      <c r="H381" s="6"/>
      <c r="I381" s="6" t="s">
        <v>684</v>
      </c>
      <c r="J381" s="6"/>
      <c r="K381" s="6" t="s">
        <v>184</v>
      </c>
      <c r="L381" s="6" t="s">
        <v>685</v>
      </c>
      <c r="M381" s="6"/>
      <c r="N381" s="6"/>
      <c r="O381" s="6" t="s">
        <v>310</v>
      </c>
      <c r="P381" s="6" t="s">
        <v>1580</v>
      </c>
      <c r="Q381" s="8" t="s">
        <v>687</v>
      </c>
    </row>
    <row r="382" customFormat="false" ht="22.35" hidden="false" customHeight="false" outlineLevel="0" collapsed="false">
      <c r="A382" s="6" t="s">
        <v>1581</v>
      </c>
      <c r="B382" s="6" t="s">
        <v>1582</v>
      </c>
      <c r="C382" s="6" t="s">
        <v>411</v>
      </c>
      <c r="D382" s="6" t="s">
        <v>1023</v>
      </c>
      <c r="E382" s="6" t="s">
        <v>413</v>
      </c>
      <c r="F382" s="6" t="s">
        <v>1024</v>
      </c>
      <c r="G382" s="6" t="s">
        <v>1024</v>
      </c>
      <c r="H382" s="6"/>
      <c r="I382" s="6" t="s">
        <v>684</v>
      </c>
      <c r="J382" s="6"/>
      <c r="K382" s="6" t="s">
        <v>184</v>
      </c>
      <c r="L382" s="6" t="s">
        <v>685</v>
      </c>
      <c r="M382" s="6"/>
      <c r="N382" s="6"/>
      <c r="O382" s="6" t="s">
        <v>518</v>
      </c>
      <c r="P382" s="6" t="s">
        <v>1583</v>
      </c>
      <c r="Q382" s="8" t="s">
        <v>687</v>
      </c>
    </row>
    <row r="383" customFormat="false" ht="22.35" hidden="false" customHeight="false" outlineLevel="0" collapsed="false">
      <c r="A383" s="6" t="s">
        <v>1584</v>
      </c>
      <c r="B383" s="6" t="s">
        <v>1585</v>
      </c>
      <c r="C383" s="6" t="s">
        <v>411</v>
      </c>
      <c r="D383" s="6" t="s">
        <v>801</v>
      </c>
      <c r="E383" s="6" t="s">
        <v>413</v>
      </c>
      <c r="F383" s="6" t="s">
        <v>156</v>
      </c>
      <c r="G383" s="6" t="s">
        <v>156</v>
      </c>
      <c r="H383" s="6"/>
      <c r="I383" s="6" t="s">
        <v>684</v>
      </c>
      <c r="J383" s="6"/>
      <c r="K383" s="6" t="s">
        <v>184</v>
      </c>
      <c r="L383" s="6" t="s">
        <v>685</v>
      </c>
      <c r="M383" s="6"/>
      <c r="N383" s="6"/>
      <c r="O383" s="6" t="s">
        <v>368</v>
      </c>
      <c r="P383" s="6" t="s">
        <v>1586</v>
      </c>
      <c r="Q383" s="8" t="s">
        <v>687</v>
      </c>
    </row>
    <row r="384" customFormat="false" ht="22.35" hidden="false" customHeight="false" outlineLevel="0" collapsed="false">
      <c r="A384" s="6" t="s">
        <v>1587</v>
      </c>
      <c r="B384" s="6" t="s">
        <v>1588</v>
      </c>
      <c r="C384" s="6" t="s">
        <v>411</v>
      </c>
      <c r="D384" s="6" t="s">
        <v>1023</v>
      </c>
      <c r="E384" s="6" t="s">
        <v>413</v>
      </c>
      <c r="F384" s="6" t="s">
        <v>1024</v>
      </c>
      <c r="G384" s="6" t="s">
        <v>1024</v>
      </c>
      <c r="H384" s="6"/>
      <c r="I384" s="6" t="s">
        <v>684</v>
      </c>
      <c r="J384" s="6"/>
      <c r="K384" s="6" t="s">
        <v>184</v>
      </c>
      <c r="L384" s="6" t="s">
        <v>685</v>
      </c>
      <c r="M384" s="6"/>
      <c r="N384" s="6"/>
      <c r="O384" s="6" t="s">
        <v>518</v>
      </c>
      <c r="P384" s="6" t="s">
        <v>1589</v>
      </c>
      <c r="Q384" s="8" t="s">
        <v>687</v>
      </c>
    </row>
    <row r="385" customFormat="false" ht="22.35" hidden="false" customHeight="false" outlineLevel="0" collapsed="false">
      <c r="A385" s="6" t="s">
        <v>1590</v>
      </c>
      <c r="B385" s="6" t="s">
        <v>1591</v>
      </c>
      <c r="C385" s="6" t="s">
        <v>411</v>
      </c>
      <c r="D385" s="6" t="s">
        <v>1133</v>
      </c>
      <c r="E385" s="6" t="s">
        <v>413</v>
      </c>
      <c r="F385" s="6" t="s">
        <v>1134</v>
      </c>
      <c r="G385" s="6" t="s">
        <v>1134</v>
      </c>
      <c r="H385" s="6"/>
      <c r="I385" s="6" t="s">
        <v>684</v>
      </c>
      <c r="J385" s="6"/>
      <c r="K385" s="6" t="s">
        <v>184</v>
      </c>
      <c r="L385" s="6" t="s">
        <v>685</v>
      </c>
      <c r="M385" s="6"/>
      <c r="N385" s="6"/>
      <c r="O385" s="6" t="s">
        <v>1135</v>
      </c>
      <c r="P385" s="6" t="s">
        <v>1592</v>
      </c>
      <c r="Q385" s="8" t="s">
        <v>687</v>
      </c>
    </row>
    <row r="386" customFormat="false" ht="22.35" hidden="false" customHeight="false" outlineLevel="0" collapsed="false">
      <c r="A386" s="6" t="s">
        <v>1593</v>
      </c>
      <c r="B386" s="6" t="s">
        <v>1594</v>
      </c>
      <c r="C386" s="6" t="s">
        <v>411</v>
      </c>
      <c r="D386" s="6" t="s">
        <v>578</v>
      </c>
      <c r="E386" s="6" t="s">
        <v>413</v>
      </c>
      <c r="F386" s="6" t="s">
        <v>1595</v>
      </c>
      <c r="G386" s="6" t="s">
        <v>1595</v>
      </c>
      <c r="H386" s="6"/>
      <c r="I386" s="6" t="s">
        <v>684</v>
      </c>
      <c r="J386" s="6"/>
      <c r="K386" s="6" t="s">
        <v>184</v>
      </c>
      <c r="L386" s="6" t="s">
        <v>685</v>
      </c>
      <c r="M386" s="6"/>
      <c r="N386" s="6"/>
      <c r="O386" s="6" t="s">
        <v>206</v>
      </c>
      <c r="P386" s="6" t="s">
        <v>1596</v>
      </c>
      <c r="Q386" s="8" t="s">
        <v>687</v>
      </c>
    </row>
    <row r="387" customFormat="false" ht="22.35" hidden="false" customHeight="false" outlineLevel="0" collapsed="false">
      <c r="A387" s="6" t="s">
        <v>1597</v>
      </c>
      <c r="B387" s="6" t="s">
        <v>1598</v>
      </c>
      <c r="C387" s="6" t="s">
        <v>411</v>
      </c>
      <c r="D387" s="6" t="s">
        <v>1133</v>
      </c>
      <c r="E387" s="6" t="s">
        <v>413</v>
      </c>
      <c r="F387" s="6" t="s">
        <v>1134</v>
      </c>
      <c r="G387" s="6" t="s">
        <v>1134</v>
      </c>
      <c r="H387" s="6"/>
      <c r="I387" s="6" t="s">
        <v>684</v>
      </c>
      <c r="J387" s="6"/>
      <c r="K387" s="6" t="s">
        <v>184</v>
      </c>
      <c r="L387" s="6" t="s">
        <v>685</v>
      </c>
      <c r="M387" s="6"/>
      <c r="N387" s="6"/>
      <c r="O387" s="6" t="s">
        <v>1135</v>
      </c>
      <c r="P387" s="6" t="s">
        <v>1599</v>
      </c>
      <c r="Q387" s="8" t="s">
        <v>687</v>
      </c>
    </row>
    <row r="388" customFormat="false" ht="22.35" hidden="false" customHeight="false" outlineLevel="0" collapsed="false">
      <c r="A388" s="6" t="s">
        <v>1600</v>
      </c>
      <c r="B388" s="6" t="s">
        <v>1601</v>
      </c>
      <c r="C388" s="6" t="s">
        <v>411</v>
      </c>
      <c r="D388" s="6" t="s">
        <v>690</v>
      </c>
      <c r="E388" s="6" t="s">
        <v>413</v>
      </c>
      <c r="F388" s="6" t="s">
        <v>325</v>
      </c>
      <c r="G388" s="6" t="s">
        <v>325</v>
      </c>
      <c r="H388" s="6"/>
      <c r="I388" s="6" t="s">
        <v>684</v>
      </c>
      <c r="J388" s="6"/>
      <c r="K388" s="6" t="s">
        <v>184</v>
      </c>
      <c r="L388" s="6" t="s">
        <v>685</v>
      </c>
      <c r="M388" s="6"/>
      <c r="N388" s="6"/>
      <c r="O388" s="6" t="s">
        <v>310</v>
      </c>
      <c r="P388" s="6" t="s">
        <v>1602</v>
      </c>
      <c r="Q388" s="8" t="s">
        <v>687</v>
      </c>
    </row>
    <row r="389" customFormat="false" ht="22.35" hidden="false" customHeight="false" outlineLevel="0" collapsed="false">
      <c r="A389" s="6" t="s">
        <v>1603</v>
      </c>
      <c r="B389" s="6" t="s">
        <v>1604</v>
      </c>
      <c r="C389" s="6" t="s">
        <v>411</v>
      </c>
      <c r="D389" s="6" t="s">
        <v>801</v>
      </c>
      <c r="E389" s="6" t="s">
        <v>413</v>
      </c>
      <c r="F389" s="6" t="s">
        <v>156</v>
      </c>
      <c r="G389" s="6" t="s">
        <v>156</v>
      </c>
      <c r="H389" s="6"/>
      <c r="I389" s="6" t="s">
        <v>684</v>
      </c>
      <c r="J389" s="6"/>
      <c r="K389" s="6" t="s">
        <v>184</v>
      </c>
      <c r="L389" s="6" t="s">
        <v>685</v>
      </c>
      <c r="M389" s="6"/>
      <c r="N389" s="6"/>
      <c r="O389" s="6" t="s">
        <v>368</v>
      </c>
      <c r="P389" s="6" t="s">
        <v>1605</v>
      </c>
      <c r="Q389" s="8" t="s">
        <v>687</v>
      </c>
    </row>
    <row r="390" customFormat="false" ht="22.35" hidden="false" customHeight="false" outlineLevel="0" collapsed="false">
      <c r="A390" s="6" t="s">
        <v>1606</v>
      </c>
      <c r="B390" s="6" t="s">
        <v>1607</v>
      </c>
      <c r="C390" s="6" t="s">
        <v>411</v>
      </c>
      <c r="D390" s="6" t="s">
        <v>444</v>
      </c>
      <c r="E390" s="6" t="s">
        <v>413</v>
      </c>
      <c r="F390" s="6" t="s">
        <v>393</v>
      </c>
      <c r="G390" s="6" t="s">
        <v>393</v>
      </c>
      <c r="H390" s="6"/>
      <c r="I390" s="6" t="s">
        <v>684</v>
      </c>
      <c r="J390" s="6"/>
      <c r="K390" s="6" t="s">
        <v>184</v>
      </c>
      <c r="L390" s="6" t="s">
        <v>685</v>
      </c>
      <c r="M390" s="6"/>
      <c r="N390" s="6"/>
      <c r="O390" s="6" t="s">
        <v>451</v>
      </c>
      <c r="P390" s="6" t="s">
        <v>1608</v>
      </c>
      <c r="Q390" s="8" t="s">
        <v>687</v>
      </c>
    </row>
    <row r="391" customFormat="false" ht="22.35" hidden="false" customHeight="false" outlineLevel="0" collapsed="false">
      <c r="A391" s="6" t="s">
        <v>1609</v>
      </c>
      <c r="B391" s="6" t="s">
        <v>1610</v>
      </c>
      <c r="C391" s="6" t="s">
        <v>411</v>
      </c>
      <c r="D391" s="6" t="s">
        <v>444</v>
      </c>
      <c r="E391" s="6" t="s">
        <v>413</v>
      </c>
      <c r="F391" s="6" t="s">
        <v>393</v>
      </c>
      <c r="G391" s="6" t="s">
        <v>393</v>
      </c>
      <c r="H391" s="6"/>
      <c r="I391" s="6" t="s">
        <v>684</v>
      </c>
      <c r="J391" s="6"/>
      <c r="K391" s="6" t="s">
        <v>184</v>
      </c>
      <c r="L391" s="6" t="s">
        <v>685</v>
      </c>
      <c r="M391" s="6"/>
      <c r="N391" s="6"/>
      <c r="O391" s="6" t="s">
        <v>451</v>
      </c>
      <c r="P391" s="6" t="s">
        <v>1611</v>
      </c>
      <c r="Q391" s="8" t="s">
        <v>687</v>
      </c>
    </row>
    <row r="392" customFormat="false" ht="22.35" hidden="false" customHeight="false" outlineLevel="0" collapsed="false">
      <c r="A392" s="6" t="s">
        <v>1612</v>
      </c>
      <c r="B392" s="6" t="s">
        <v>1613</v>
      </c>
      <c r="C392" s="6" t="s">
        <v>411</v>
      </c>
      <c r="D392" s="6" t="s">
        <v>444</v>
      </c>
      <c r="E392" s="6" t="s">
        <v>413</v>
      </c>
      <c r="F392" s="6" t="s">
        <v>393</v>
      </c>
      <c r="G392" s="6" t="s">
        <v>393</v>
      </c>
      <c r="H392" s="6"/>
      <c r="I392" s="6" t="s">
        <v>684</v>
      </c>
      <c r="J392" s="6"/>
      <c r="K392" s="6" t="s">
        <v>184</v>
      </c>
      <c r="L392" s="6" t="s">
        <v>685</v>
      </c>
      <c r="M392" s="6"/>
      <c r="N392" s="6"/>
      <c r="O392" s="6" t="s">
        <v>451</v>
      </c>
      <c r="P392" s="6" t="s">
        <v>1614</v>
      </c>
      <c r="Q392" s="8" t="s">
        <v>687</v>
      </c>
    </row>
    <row r="393" customFormat="false" ht="22.35" hidden="false" customHeight="false" outlineLevel="0" collapsed="false">
      <c r="A393" s="6" t="s">
        <v>1615</v>
      </c>
      <c r="B393" s="6" t="s">
        <v>1616</v>
      </c>
      <c r="C393" s="6" t="s">
        <v>411</v>
      </c>
      <c r="D393" s="6" t="s">
        <v>801</v>
      </c>
      <c r="E393" s="6" t="s">
        <v>413</v>
      </c>
      <c r="F393" s="6" t="s">
        <v>156</v>
      </c>
      <c r="G393" s="6" t="s">
        <v>156</v>
      </c>
      <c r="H393" s="6"/>
      <c r="I393" s="6" t="s">
        <v>684</v>
      </c>
      <c r="J393" s="6"/>
      <c r="K393" s="6" t="s">
        <v>184</v>
      </c>
      <c r="L393" s="6" t="s">
        <v>685</v>
      </c>
      <c r="M393" s="6"/>
      <c r="N393" s="6"/>
      <c r="O393" s="6" t="s">
        <v>368</v>
      </c>
      <c r="P393" s="6" t="s">
        <v>1617</v>
      </c>
      <c r="Q393" s="8" t="s">
        <v>687</v>
      </c>
    </row>
    <row r="394" customFormat="false" ht="22.35" hidden="false" customHeight="false" outlineLevel="0" collapsed="false">
      <c r="A394" s="6" t="s">
        <v>1618</v>
      </c>
      <c r="B394" s="6" t="s">
        <v>1619</v>
      </c>
      <c r="C394" s="6" t="s">
        <v>411</v>
      </c>
      <c r="D394" s="6" t="s">
        <v>444</v>
      </c>
      <c r="E394" s="6" t="s">
        <v>413</v>
      </c>
      <c r="F394" s="6" t="s">
        <v>393</v>
      </c>
      <c r="G394" s="6" t="s">
        <v>393</v>
      </c>
      <c r="H394" s="6"/>
      <c r="I394" s="6" t="s">
        <v>684</v>
      </c>
      <c r="J394" s="6"/>
      <c r="K394" s="6" t="s">
        <v>184</v>
      </c>
      <c r="L394" s="6" t="s">
        <v>685</v>
      </c>
      <c r="M394" s="6"/>
      <c r="N394" s="6"/>
      <c r="O394" s="6" t="s">
        <v>451</v>
      </c>
      <c r="P394" s="6" t="s">
        <v>1620</v>
      </c>
      <c r="Q394" s="8" t="s">
        <v>687</v>
      </c>
    </row>
    <row r="395" customFormat="false" ht="22.35" hidden="false" customHeight="false" outlineLevel="0" collapsed="false">
      <c r="A395" s="6" t="s">
        <v>1621</v>
      </c>
      <c r="B395" s="6" t="s">
        <v>1622</v>
      </c>
      <c r="C395" s="6" t="s">
        <v>411</v>
      </c>
      <c r="D395" s="6" t="s">
        <v>690</v>
      </c>
      <c r="E395" s="6" t="s">
        <v>413</v>
      </c>
      <c r="F395" s="6" t="s">
        <v>562</v>
      </c>
      <c r="G395" s="6" t="s">
        <v>562</v>
      </c>
      <c r="H395" s="6"/>
      <c r="I395" s="6" t="s">
        <v>684</v>
      </c>
      <c r="J395" s="6"/>
      <c r="K395" s="6" t="s">
        <v>184</v>
      </c>
      <c r="L395" s="6" t="s">
        <v>685</v>
      </c>
      <c r="M395" s="6"/>
      <c r="N395" s="6"/>
      <c r="O395" s="6" t="s">
        <v>310</v>
      </c>
      <c r="P395" s="6" t="s">
        <v>1623</v>
      </c>
      <c r="Q395" s="8" t="s">
        <v>687</v>
      </c>
    </row>
    <row r="396" customFormat="false" ht="22.35" hidden="false" customHeight="false" outlineLevel="0" collapsed="false">
      <c r="A396" s="6" t="s">
        <v>1624</v>
      </c>
      <c r="B396" s="6" t="s">
        <v>1625</v>
      </c>
      <c r="C396" s="6" t="s">
        <v>411</v>
      </c>
      <c r="D396" s="6" t="s">
        <v>801</v>
      </c>
      <c r="E396" s="6" t="s">
        <v>413</v>
      </c>
      <c r="F396" s="6" t="s">
        <v>156</v>
      </c>
      <c r="G396" s="6" t="s">
        <v>156</v>
      </c>
      <c r="H396" s="6"/>
      <c r="I396" s="6" t="s">
        <v>684</v>
      </c>
      <c r="J396" s="6"/>
      <c r="K396" s="6" t="s">
        <v>184</v>
      </c>
      <c r="L396" s="6" t="s">
        <v>685</v>
      </c>
      <c r="M396" s="6"/>
      <c r="N396" s="6"/>
      <c r="O396" s="6" t="s">
        <v>368</v>
      </c>
      <c r="P396" s="6" t="s">
        <v>1626</v>
      </c>
      <c r="Q396" s="8" t="s">
        <v>687</v>
      </c>
    </row>
    <row r="397" customFormat="false" ht="22.35" hidden="false" customHeight="false" outlineLevel="0" collapsed="false">
      <c r="A397" s="6" t="s">
        <v>1627</v>
      </c>
      <c r="B397" s="6" t="s">
        <v>1628</v>
      </c>
      <c r="C397" s="6" t="s">
        <v>411</v>
      </c>
      <c r="D397" s="6" t="s">
        <v>444</v>
      </c>
      <c r="E397" s="6" t="s">
        <v>413</v>
      </c>
      <c r="F397" s="6" t="s">
        <v>393</v>
      </c>
      <c r="G397" s="6" t="s">
        <v>393</v>
      </c>
      <c r="H397" s="6"/>
      <c r="I397" s="6" t="s">
        <v>684</v>
      </c>
      <c r="J397" s="6"/>
      <c r="K397" s="6" t="s">
        <v>184</v>
      </c>
      <c r="L397" s="6" t="s">
        <v>685</v>
      </c>
      <c r="M397" s="6"/>
      <c r="N397" s="6"/>
      <c r="O397" s="6" t="s">
        <v>451</v>
      </c>
      <c r="P397" s="6" t="s">
        <v>1629</v>
      </c>
      <c r="Q397" s="8" t="s">
        <v>687</v>
      </c>
    </row>
    <row r="398" customFormat="false" ht="22.35" hidden="false" customHeight="false" outlineLevel="0" collapsed="false">
      <c r="A398" s="6" t="s">
        <v>1630</v>
      </c>
      <c r="B398" s="6" t="s">
        <v>1631</v>
      </c>
      <c r="C398" s="6" t="s">
        <v>411</v>
      </c>
      <c r="D398" s="6" t="s">
        <v>1133</v>
      </c>
      <c r="E398" s="6" t="s">
        <v>413</v>
      </c>
      <c r="F398" s="6" t="s">
        <v>1134</v>
      </c>
      <c r="G398" s="6" t="s">
        <v>1134</v>
      </c>
      <c r="H398" s="6"/>
      <c r="I398" s="6" t="s">
        <v>684</v>
      </c>
      <c r="J398" s="6"/>
      <c r="K398" s="6" t="s">
        <v>184</v>
      </c>
      <c r="L398" s="6" t="s">
        <v>685</v>
      </c>
      <c r="M398" s="6"/>
      <c r="N398" s="6"/>
      <c r="O398" s="6" t="s">
        <v>1135</v>
      </c>
      <c r="P398" s="6" t="s">
        <v>1632</v>
      </c>
      <c r="Q398" s="8" t="s">
        <v>687</v>
      </c>
    </row>
    <row r="399" customFormat="false" ht="22.35" hidden="false" customHeight="false" outlineLevel="0" collapsed="false">
      <c r="A399" s="6" t="s">
        <v>1633</v>
      </c>
      <c r="B399" s="6" t="s">
        <v>1634</v>
      </c>
      <c r="C399" s="6" t="s">
        <v>411</v>
      </c>
      <c r="D399" s="6" t="s">
        <v>801</v>
      </c>
      <c r="E399" s="6" t="s">
        <v>413</v>
      </c>
      <c r="F399" s="6" t="s">
        <v>156</v>
      </c>
      <c r="G399" s="6" t="s">
        <v>156</v>
      </c>
      <c r="H399" s="6"/>
      <c r="I399" s="6" t="s">
        <v>684</v>
      </c>
      <c r="J399" s="6"/>
      <c r="K399" s="6" t="s">
        <v>184</v>
      </c>
      <c r="L399" s="6" t="s">
        <v>685</v>
      </c>
      <c r="M399" s="6"/>
      <c r="N399" s="6"/>
      <c r="O399" s="6" t="s">
        <v>368</v>
      </c>
      <c r="P399" s="6" t="s">
        <v>1635</v>
      </c>
      <c r="Q399" s="8" t="s">
        <v>687</v>
      </c>
    </row>
    <row r="400" customFormat="false" ht="22.35" hidden="false" customHeight="false" outlineLevel="0" collapsed="false">
      <c r="A400" s="6" t="s">
        <v>1636</v>
      </c>
      <c r="B400" s="6" t="s">
        <v>1637</v>
      </c>
      <c r="C400" s="6" t="s">
        <v>411</v>
      </c>
      <c r="D400" s="6" t="s">
        <v>578</v>
      </c>
      <c r="E400" s="6" t="s">
        <v>413</v>
      </c>
      <c r="F400" s="6" t="s">
        <v>200</v>
      </c>
      <c r="G400" s="6" t="s">
        <v>200</v>
      </c>
      <c r="H400" s="6"/>
      <c r="I400" s="6" t="s">
        <v>684</v>
      </c>
      <c r="J400" s="6"/>
      <c r="K400" s="6" t="s">
        <v>184</v>
      </c>
      <c r="L400" s="6" t="s">
        <v>685</v>
      </c>
      <c r="M400" s="6"/>
      <c r="N400" s="6"/>
      <c r="O400" s="6" t="s">
        <v>206</v>
      </c>
      <c r="P400" s="6" t="s">
        <v>1638</v>
      </c>
      <c r="Q400" s="8" t="s">
        <v>687</v>
      </c>
    </row>
    <row r="401" customFormat="false" ht="22.35" hidden="false" customHeight="false" outlineLevel="0" collapsed="false">
      <c r="A401" s="6" t="s">
        <v>1639</v>
      </c>
      <c r="B401" s="6" t="s">
        <v>1640</v>
      </c>
      <c r="C401" s="6" t="s">
        <v>411</v>
      </c>
      <c r="D401" s="6" t="s">
        <v>690</v>
      </c>
      <c r="E401" s="6" t="s">
        <v>413</v>
      </c>
      <c r="F401" s="6" t="s">
        <v>455</v>
      </c>
      <c r="G401" s="6" t="s">
        <v>455</v>
      </c>
      <c r="H401" s="6"/>
      <c r="I401" s="6" t="s">
        <v>684</v>
      </c>
      <c r="J401" s="6"/>
      <c r="K401" s="6" t="s">
        <v>184</v>
      </c>
      <c r="L401" s="6" t="s">
        <v>685</v>
      </c>
      <c r="M401" s="6"/>
      <c r="N401" s="6"/>
      <c r="O401" s="6" t="s">
        <v>310</v>
      </c>
      <c r="P401" s="6" t="s">
        <v>1641</v>
      </c>
      <c r="Q401" s="8" t="s">
        <v>687</v>
      </c>
    </row>
    <row r="402" customFormat="false" ht="22.35" hidden="false" customHeight="false" outlineLevel="0" collapsed="false">
      <c r="A402" s="6" t="s">
        <v>1642</v>
      </c>
      <c r="B402" s="6" t="s">
        <v>1643</v>
      </c>
      <c r="C402" s="6" t="s">
        <v>411</v>
      </c>
      <c r="D402" s="6" t="s">
        <v>1133</v>
      </c>
      <c r="E402" s="6" t="s">
        <v>413</v>
      </c>
      <c r="F402" s="6" t="s">
        <v>1134</v>
      </c>
      <c r="G402" s="6" t="s">
        <v>1134</v>
      </c>
      <c r="H402" s="6"/>
      <c r="I402" s="6" t="s">
        <v>684</v>
      </c>
      <c r="J402" s="6"/>
      <c r="K402" s="6" t="s">
        <v>184</v>
      </c>
      <c r="L402" s="6" t="s">
        <v>685</v>
      </c>
      <c r="M402" s="6"/>
      <c r="N402" s="6"/>
      <c r="O402" s="6" t="s">
        <v>1135</v>
      </c>
      <c r="P402" s="6" t="s">
        <v>1644</v>
      </c>
      <c r="Q402" s="8" t="s">
        <v>687</v>
      </c>
    </row>
    <row r="403" customFormat="false" ht="22.35" hidden="false" customHeight="false" outlineLevel="0" collapsed="false">
      <c r="A403" s="6" t="s">
        <v>1645</v>
      </c>
      <c r="B403" s="6" t="s">
        <v>1646</v>
      </c>
      <c r="C403" s="6" t="s">
        <v>411</v>
      </c>
      <c r="D403" s="6" t="s">
        <v>1133</v>
      </c>
      <c r="E403" s="6" t="s">
        <v>413</v>
      </c>
      <c r="F403" s="6" t="s">
        <v>1134</v>
      </c>
      <c r="G403" s="6" t="s">
        <v>1134</v>
      </c>
      <c r="H403" s="6"/>
      <c r="I403" s="6" t="s">
        <v>684</v>
      </c>
      <c r="J403" s="6"/>
      <c r="K403" s="6" t="s">
        <v>184</v>
      </c>
      <c r="L403" s="6" t="s">
        <v>685</v>
      </c>
      <c r="M403" s="6"/>
      <c r="N403" s="6"/>
      <c r="O403" s="6" t="s">
        <v>1135</v>
      </c>
      <c r="P403" s="6" t="s">
        <v>1647</v>
      </c>
      <c r="Q403" s="8" t="s">
        <v>687</v>
      </c>
    </row>
    <row r="404" customFormat="false" ht="22.35" hidden="false" customHeight="false" outlineLevel="0" collapsed="false">
      <c r="A404" s="6" t="s">
        <v>1648</v>
      </c>
      <c r="B404" s="6" t="s">
        <v>1649</v>
      </c>
      <c r="C404" s="6" t="s">
        <v>411</v>
      </c>
      <c r="D404" s="6" t="s">
        <v>1133</v>
      </c>
      <c r="E404" s="6" t="s">
        <v>413</v>
      </c>
      <c r="F404" s="6" t="s">
        <v>1134</v>
      </c>
      <c r="G404" s="6" t="s">
        <v>1134</v>
      </c>
      <c r="H404" s="6"/>
      <c r="I404" s="6" t="s">
        <v>684</v>
      </c>
      <c r="J404" s="6"/>
      <c r="K404" s="6" t="s">
        <v>184</v>
      </c>
      <c r="L404" s="6" t="s">
        <v>685</v>
      </c>
      <c r="M404" s="6"/>
      <c r="N404" s="6"/>
      <c r="O404" s="6" t="s">
        <v>1135</v>
      </c>
      <c r="P404" s="6" t="s">
        <v>1650</v>
      </c>
      <c r="Q404" s="8" t="s">
        <v>687</v>
      </c>
    </row>
    <row r="405" customFormat="false" ht="22.35" hidden="false" customHeight="false" outlineLevel="0" collapsed="false">
      <c r="A405" s="6" t="s">
        <v>1651</v>
      </c>
      <c r="B405" s="6" t="s">
        <v>1652</v>
      </c>
      <c r="C405" s="6" t="s">
        <v>411</v>
      </c>
      <c r="D405" s="6" t="s">
        <v>444</v>
      </c>
      <c r="E405" s="6" t="s">
        <v>413</v>
      </c>
      <c r="F405" s="6" t="s">
        <v>393</v>
      </c>
      <c r="G405" s="6" t="s">
        <v>393</v>
      </c>
      <c r="H405" s="6"/>
      <c r="I405" s="6" t="s">
        <v>684</v>
      </c>
      <c r="J405" s="6"/>
      <c r="K405" s="6" t="s">
        <v>184</v>
      </c>
      <c r="L405" s="6" t="s">
        <v>685</v>
      </c>
      <c r="M405" s="6"/>
      <c r="N405" s="6"/>
      <c r="O405" s="6" t="s">
        <v>451</v>
      </c>
      <c r="P405" s="6" t="s">
        <v>1653</v>
      </c>
      <c r="Q405" s="8" t="s">
        <v>687</v>
      </c>
    </row>
    <row r="406" customFormat="false" ht="22.35" hidden="false" customHeight="false" outlineLevel="0" collapsed="false">
      <c r="A406" s="6" t="s">
        <v>1654</v>
      </c>
      <c r="B406" s="6" t="s">
        <v>1655</v>
      </c>
      <c r="C406" s="6" t="s">
        <v>411</v>
      </c>
      <c r="D406" s="6" t="s">
        <v>690</v>
      </c>
      <c r="E406" s="6" t="s">
        <v>413</v>
      </c>
      <c r="F406" s="6" t="s">
        <v>562</v>
      </c>
      <c r="G406" s="6" t="s">
        <v>562</v>
      </c>
      <c r="H406" s="6"/>
      <c r="I406" s="6" t="s">
        <v>684</v>
      </c>
      <c r="J406" s="6"/>
      <c r="K406" s="6" t="s">
        <v>184</v>
      </c>
      <c r="L406" s="6" t="s">
        <v>685</v>
      </c>
      <c r="M406" s="6"/>
      <c r="N406" s="6"/>
      <c r="O406" s="6" t="s">
        <v>310</v>
      </c>
      <c r="P406" s="6" t="s">
        <v>1656</v>
      </c>
      <c r="Q406" s="8" t="s">
        <v>687</v>
      </c>
    </row>
    <row r="407" customFormat="false" ht="22.35" hidden="false" customHeight="false" outlineLevel="0" collapsed="false">
      <c r="A407" s="6" t="s">
        <v>1657</v>
      </c>
      <c r="B407" s="6" t="s">
        <v>1658</v>
      </c>
      <c r="C407" s="6" t="s">
        <v>411</v>
      </c>
      <c r="D407" s="6" t="s">
        <v>750</v>
      </c>
      <c r="E407" s="6" t="s">
        <v>413</v>
      </c>
      <c r="F407" s="6" t="s">
        <v>156</v>
      </c>
      <c r="G407" s="6" t="s">
        <v>156</v>
      </c>
      <c r="H407" s="6"/>
      <c r="I407" s="6" t="s">
        <v>684</v>
      </c>
      <c r="J407" s="6"/>
      <c r="K407" s="6" t="s">
        <v>184</v>
      </c>
      <c r="L407" s="6" t="s">
        <v>685</v>
      </c>
      <c r="M407" s="6"/>
      <c r="N407" s="6"/>
      <c r="O407" s="6" t="s">
        <v>163</v>
      </c>
      <c r="P407" s="6" t="s">
        <v>1659</v>
      </c>
      <c r="Q407" s="8" t="s">
        <v>687</v>
      </c>
    </row>
    <row r="408" customFormat="false" ht="22.35" hidden="false" customHeight="false" outlineLevel="0" collapsed="false">
      <c r="A408" s="6" t="s">
        <v>1660</v>
      </c>
      <c r="B408" s="6" t="s">
        <v>1661</v>
      </c>
      <c r="C408" s="6" t="s">
        <v>411</v>
      </c>
      <c r="D408" s="6" t="s">
        <v>750</v>
      </c>
      <c r="E408" s="6" t="s">
        <v>413</v>
      </c>
      <c r="F408" s="6" t="s">
        <v>156</v>
      </c>
      <c r="G408" s="6" t="s">
        <v>156</v>
      </c>
      <c r="H408" s="6"/>
      <c r="I408" s="6" t="s">
        <v>684</v>
      </c>
      <c r="J408" s="6"/>
      <c r="K408" s="6" t="s">
        <v>184</v>
      </c>
      <c r="L408" s="6" t="s">
        <v>685</v>
      </c>
      <c r="M408" s="6"/>
      <c r="N408" s="6"/>
      <c r="O408" s="6" t="s">
        <v>163</v>
      </c>
      <c r="P408" s="6" t="s">
        <v>1662</v>
      </c>
      <c r="Q408" s="8" t="s">
        <v>687</v>
      </c>
    </row>
    <row r="409" customFormat="false" ht="22.35" hidden="false" customHeight="false" outlineLevel="0" collapsed="false">
      <c r="A409" s="6" t="s">
        <v>1663</v>
      </c>
      <c r="B409" s="6" t="s">
        <v>1664</v>
      </c>
      <c r="C409" s="6" t="s">
        <v>411</v>
      </c>
      <c r="D409" s="6" t="s">
        <v>750</v>
      </c>
      <c r="E409" s="6" t="s">
        <v>413</v>
      </c>
      <c r="F409" s="6" t="s">
        <v>304</v>
      </c>
      <c r="G409" s="6" t="s">
        <v>304</v>
      </c>
      <c r="H409" s="6"/>
      <c r="I409" s="6" t="s">
        <v>684</v>
      </c>
      <c r="J409" s="6"/>
      <c r="K409" s="6" t="s">
        <v>184</v>
      </c>
      <c r="L409" s="6" t="s">
        <v>685</v>
      </c>
      <c r="M409" s="6"/>
      <c r="N409" s="6"/>
      <c r="O409" s="6" t="s">
        <v>163</v>
      </c>
      <c r="P409" s="6" t="s">
        <v>1665</v>
      </c>
      <c r="Q409" s="8" t="s">
        <v>687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  <col collapsed="false" customWidth="true" hidden="false" outlineLevel="0" max="3" min="3" style="0" width="25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9" min="8" style="0" width="18"/>
    <col collapsed="false" customWidth="true" hidden="false" outlineLevel="0" max="10" min="10" style="0" width="16"/>
    <col collapsed="false" customWidth="true" hidden="false" outlineLevel="0" max="12" min="11" style="0" width="25"/>
    <col collapsed="false" customWidth="true" hidden="false" outlineLevel="0" max="13" min="13" style="0" width="35"/>
  </cols>
  <sheetData>
    <row r="1" customFormat="false" ht="46.25" hidden="false" customHeight="false" outlineLevel="0" collapsed="false">
      <c r="A1" s="9" t="s">
        <v>77</v>
      </c>
      <c r="B1" s="9" t="s">
        <v>78</v>
      </c>
      <c r="C1" s="9" t="s">
        <v>1666</v>
      </c>
      <c r="D1" s="9" t="s">
        <v>1667</v>
      </c>
      <c r="E1" s="9" t="s">
        <v>1668</v>
      </c>
      <c r="F1" s="9" t="s">
        <v>1669</v>
      </c>
      <c r="G1" s="9" t="s">
        <v>84</v>
      </c>
      <c r="H1" s="9" t="s">
        <v>1670</v>
      </c>
      <c r="I1" s="9" t="s">
        <v>1671</v>
      </c>
      <c r="J1" s="9" t="s">
        <v>87</v>
      </c>
      <c r="K1" s="9" t="s">
        <v>88</v>
      </c>
      <c r="L1" s="9" t="s">
        <v>89</v>
      </c>
      <c r="M1" s="9" t="s">
        <v>1672</v>
      </c>
      <c r="N1" s="9" t="s">
        <v>91</v>
      </c>
      <c r="O1" s="9" t="s">
        <v>92</v>
      </c>
      <c r="P1" s="9" t="s">
        <v>1673</v>
      </c>
    </row>
    <row r="2" customFormat="false" ht="53.7" hidden="false" customHeight="false" outlineLevel="0" collapsed="false">
      <c r="A2" s="6" t="s">
        <v>320</v>
      </c>
      <c r="B2" s="6" t="s">
        <v>1674</v>
      </c>
      <c r="C2" s="6" t="s">
        <v>1675</v>
      </c>
      <c r="D2" s="6" t="s">
        <v>1676</v>
      </c>
      <c r="E2" s="6" t="s">
        <v>1677</v>
      </c>
      <c r="F2" s="6" t="s">
        <v>1678</v>
      </c>
      <c r="G2" s="6" t="s">
        <v>1679</v>
      </c>
      <c r="H2" s="6" t="s">
        <v>1680</v>
      </c>
      <c r="I2" s="6" t="s">
        <v>1681</v>
      </c>
      <c r="J2" s="6" t="s">
        <v>104</v>
      </c>
      <c r="K2" s="6" t="s">
        <v>105</v>
      </c>
      <c r="L2" s="6" t="s">
        <v>319</v>
      </c>
      <c r="M2" s="6" t="s">
        <v>1682</v>
      </c>
      <c r="N2" s="6" t="s">
        <v>108</v>
      </c>
      <c r="O2" s="6" t="s">
        <v>1683</v>
      </c>
      <c r="P2" s="6" t="s">
        <v>1684</v>
      </c>
    </row>
    <row r="3" customFormat="false" ht="32.8" hidden="false" customHeight="false" outlineLevel="0" collapsed="false">
      <c r="A3" s="6" t="s">
        <v>1685</v>
      </c>
      <c r="B3" s="6" t="s">
        <v>1686</v>
      </c>
      <c r="C3" s="6" t="s">
        <v>1675</v>
      </c>
      <c r="D3" s="6" t="s">
        <v>1676</v>
      </c>
      <c r="E3" s="6" t="s">
        <v>1687</v>
      </c>
      <c r="F3" s="6" t="s">
        <v>1688</v>
      </c>
      <c r="G3" s="6" t="s">
        <v>1689</v>
      </c>
      <c r="H3" s="6" t="s">
        <v>1690</v>
      </c>
      <c r="I3" s="6" t="s">
        <v>1691</v>
      </c>
      <c r="J3" s="6" t="s">
        <v>119</v>
      </c>
      <c r="K3" s="6" t="s">
        <v>105</v>
      </c>
      <c r="L3" s="6" t="s">
        <v>319</v>
      </c>
      <c r="M3" s="6" t="s">
        <v>1692</v>
      </c>
      <c r="N3" s="6" t="s">
        <v>108</v>
      </c>
      <c r="O3" s="6" t="s">
        <v>1693</v>
      </c>
      <c r="P3" s="6"/>
    </row>
    <row r="4" customFormat="false" ht="32.8" hidden="false" customHeight="false" outlineLevel="0" collapsed="false">
      <c r="A4" s="6" t="s">
        <v>1694</v>
      </c>
      <c r="B4" s="6" t="s">
        <v>1695</v>
      </c>
      <c r="C4" s="6" t="s">
        <v>1675</v>
      </c>
      <c r="D4" s="6" t="s">
        <v>1676</v>
      </c>
      <c r="E4" s="6" t="s">
        <v>1696</v>
      </c>
      <c r="F4" s="6" t="s">
        <v>1697</v>
      </c>
      <c r="G4" s="6" t="s">
        <v>1689</v>
      </c>
      <c r="H4" s="6" t="s">
        <v>1698</v>
      </c>
      <c r="I4" s="6" t="s">
        <v>1691</v>
      </c>
      <c r="J4" s="6" t="s">
        <v>184</v>
      </c>
      <c r="K4" s="6" t="s">
        <v>120</v>
      </c>
      <c r="L4" s="6" t="s">
        <v>319</v>
      </c>
      <c r="M4" s="6" t="s">
        <v>1699</v>
      </c>
      <c r="N4" s="6" t="s">
        <v>108</v>
      </c>
      <c r="O4" s="6" t="s">
        <v>1700</v>
      </c>
      <c r="P4" s="6"/>
    </row>
    <row r="5" customFormat="false" ht="32.8" hidden="false" customHeight="false" outlineLevel="0" collapsed="false">
      <c r="A5" s="6" t="s">
        <v>1701</v>
      </c>
      <c r="B5" s="6" t="s">
        <v>1702</v>
      </c>
      <c r="C5" s="6" t="s">
        <v>1703</v>
      </c>
      <c r="D5" s="6" t="s">
        <v>114</v>
      </c>
      <c r="E5" s="6" t="s">
        <v>1704</v>
      </c>
      <c r="F5" s="6" t="s">
        <v>1678</v>
      </c>
      <c r="G5" s="6" t="s">
        <v>116</v>
      </c>
      <c r="H5" s="6" t="s">
        <v>1680</v>
      </c>
      <c r="I5" s="6" t="s">
        <v>1681</v>
      </c>
      <c r="J5" s="6" t="s">
        <v>119</v>
      </c>
      <c r="K5" s="6" t="s">
        <v>280</v>
      </c>
      <c r="L5" s="6" t="s">
        <v>297</v>
      </c>
      <c r="M5" s="6" t="s">
        <v>1705</v>
      </c>
      <c r="N5" s="6" t="s">
        <v>108</v>
      </c>
      <c r="O5" s="6" t="s">
        <v>1706</v>
      </c>
      <c r="P5" s="6"/>
    </row>
    <row r="6" customFormat="false" ht="32.8" hidden="false" customHeight="false" outlineLevel="0" collapsed="false">
      <c r="A6" s="6" t="s">
        <v>1707</v>
      </c>
      <c r="B6" s="6" t="s">
        <v>1708</v>
      </c>
      <c r="C6" s="6" t="s">
        <v>1703</v>
      </c>
      <c r="D6" s="6" t="s">
        <v>114</v>
      </c>
      <c r="E6" s="6" t="s">
        <v>1709</v>
      </c>
      <c r="F6" s="6" t="s">
        <v>1688</v>
      </c>
      <c r="G6" s="6" t="s">
        <v>116</v>
      </c>
      <c r="H6" s="6" t="s">
        <v>1690</v>
      </c>
      <c r="I6" s="6" t="s">
        <v>1691</v>
      </c>
      <c r="J6" s="6" t="s">
        <v>184</v>
      </c>
      <c r="K6" s="6" t="s">
        <v>280</v>
      </c>
      <c r="L6" s="6" t="s">
        <v>297</v>
      </c>
      <c r="M6" s="6" t="s">
        <v>1710</v>
      </c>
      <c r="N6" s="6" t="s">
        <v>108</v>
      </c>
      <c r="O6" s="6" t="s">
        <v>1711</v>
      </c>
      <c r="P6" s="6"/>
    </row>
    <row r="7" customFormat="false" ht="32.8" hidden="false" customHeight="false" outlineLevel="0" collapsed="false">
      <c r="A7" s="6" t="s">
        <v>475</v>
      </c>
      <c r="B7" s="6" t="s">
        <v>1712</v>
      </c>
      <c r="C7" s="6" t="s">
        <v>1713</v>
      </c>
      <c r="D7" s="6" t="s">
        <v>471</v>
      </c>
      <c r="E7" s="6" t="s">
        <v>1714</v>
      </c>
      <c r="F7" s="6" t="s">
        <v>1678</v>
      </c>
      <c r="G7" s="6" t="s">
        <v>472</v>
      </c>
      <c r="H7" s="6" t="s">
        <v>1680</v>
      </c>
      <c r="I7" s="6" t="s">
        <v>1691</v>
      </c>
      <c r="J7" s="6" t="s">
        <v>184</v>
      </c>
      <c r="K7" s="6" t="s">
        <v>193</v>
      </c>
      <c r="L7" s="6" t="s">
        <v>474</v>
      </c>
      <c r="M7" s="6" t="s">
        <v>1715</v>
      </c>
      <c r="N7" s="6" t="s">
        <v>420</v>
      </c>
      <c r="O7" s="6" t="s">
        <v>1716</v>
      </c>
      <c r="P7" s="6"/>
    </row>
    <row r="8" customFormat="false" ht="32.8" hidden="false" customHeight="false" outlineLevel="0" collapsed="false">
      <c r="A8" s="6" t="s">
        <v>1717</v>
      </c>
      <c r="B8" s="6" t="s">
        <v>1718</v>
      </c>
      <c r="C8" s="6" t="s">
        <v>1713</v>
      </c>
      <c r="D8" s="6" t="s">
        <v>471</v>
      </c>
      <c r="E8" s="6" t="s">
        <v>1719</v>
      </c>
      <c r="F8" s="6" t="s">
        <v>1678</v>
      </c>
      <c r="G8" s="6" t="s">
        <v>1720</v>
      </c>
      <c r="H8" s="6" t="s">
        <v>1721</v>
      </c>
      <c r="I8" s="6" t="s">
        <v>1691</v>
      </c>
      <c r="J8" s="6" t="s">
        <v>184</v>
      </c>
      <c r="K8" s="6" t="s">
        <v>193</v>
      </c>
      <c r="L8" s="6" t="s">
        <v>474</v>
      </c>
      <c r="M8" s="6" t="s">
        <v>1722</v>
      </c>
      <c r="N8" s="6" t="s">
        <v>420</v>
      </c>
      <c r="O8" s="6" t="s">
        <v>1723</v>
      </c>
      <c r="P8" s="6"/>
    </row>
    <row r="9" customFormat="false" ht="32.8" hidden="false" customHeight="false" outlineLevel="0" collapsed="false">
      <c r="A9" s="6" t="s">
        <v>298</v>
      </c>
      <c r="B9" s="6" t="s">
        <v>1724</v>
      </c>
      <c r="C9" s="6" t="s">
        <v>1725</v>
      </c>
      <c r="D9" s="6" t="s">
        <v>114</v>
      </c>
      <c r="E9" s="6" t="s">
        <v>1726</v>
      </c>
      <c r="F9" s="6" t="s">
        <v>1678</v>
      </c>
      <c r="G9" s="6" t="s">
        <v>295</v>
      </c>
      <c r="H9" s="6" t="s">
        <v>1690</v>
      </c>
      <c r="I9" s="6" t="s">
        <v>1727</v>
      </c>
      <c r="J9" s="6" t="s">
        <v>119</v>
      </c>
      <c r="K9" s="6" t="s">
        <v>280</v>
      </c>
      <c r="L9" s="6" t="s">
        <v>297</v>
      </c>
      <c r="M9" s="6" t="s">
        <v>1728</v>
      </c>
      <c r="N9" s="6" t="s">
        <v>420</v>
      </c>
      <c r="O9" s="6" t="s">
        <v>1729</v>
      </c>
      <c r="P9" s="6"/>
    </row>
    <row r="10" customFormat="false" ht="32.8" hidden="false" customHeight="false" outlineLevel="0" collapsed="false">
      <c r="A10" s="6" t="s">
        <v>1730</v>
      </c>
      <c r="B10" s="6" t="s">
        <v>1731</v>
      </c>
      <c r="C10" s="6" t="s">
        <v>470</v>
      </c>
      <c r="D10" s="6" t="s">
        <v>463</v>
      </c>
      <c r="E10" s="6" t="s">
        <v>1732</v>
      </c>
      <c r="F10" s="6" t="s">
        <v>1678</v>
      </c>
      <c r="G10" s="6" t="s">
        <v>1733</v>
      </c>
      <c r="H10" s="6" t="s">
        <v>1680</v>
      </c>
      <c r="I10" s="6" t="s">
        <v>1734</v>
      </c>
      <c r="J10" s="6" t="s">
        <v>184</v>
      </c>
      <c r="K10" s="6" t="s">
        <v>120</v>
      </c>
      <c r="L10" s="6"/>
      <c r="M10" s="6" t="s">
        <v>1735</v>
      </c>
      <c r="N10" s="6" t="s">
        <v>420</v>
      </c>
      <c r="O10" s="6" t="s">
        <v>1736</v>
      </c>
      <c r="P10" s="6"/>
    </row>
    <row r="11" customFormat="false" ht="32.8" hidden="false" customHeight="false" outlineLevel="0" collapsed="false">
      <c r="A11" s="6" t="s">
        <v>1737</v>
      </c>
      <c r="B11" s="6" t="s">
        <v>1738</v>
      </c>
      <c r="C11" s="6" t="s">
        <v>1739</v>
      </c>
      <c r="D11" s="6" t="s">
        <v>156</v>
      </c>
      <c r="E11" s="6" t="s">
        <v>1740</v>
      </c>
      <c r="F11" s="6" t="s">
        <v>1678</v>
      </c>
      <c r="G11" s="6" t="s">
        <v>158</v>
      </c>
      <c r="H11" s="6" t="s">
        <v>1690</v>
      </c>
      <c r="I11" s="6" t="s">
        <v>1681</v>
      </c>
      <c r="J11" s="6" t="s">
        <v>104</v>
      </c>
      <c r="K11" s="6" t="s">
        <v>105</v>
      </c>
      <c r="L11" s="6" t="s">
        <v>185</v>
      </c>
      <c r="M11" s="6" t="s">
        <v>1741</v>
      </c>
      <c r="N11" s="6" t="s">
        <v>163</v>
      </c>
      <c r="O11" s="6" t="s">
        <v>1742</v>
      </c>
      <c r="P11" s="6"/>
    </row>
    <row r="12" customFormat="false" ht="32.8" hidden="false" customHeight="false" outlineLevel="0" collapsed="false">
      <c r="A12" s="6" t="s">
        <v>574</v>
      </c>
      <c r="B12" s="6" t="s">
        <v>1743</v>
      </c>
      <c r="C12" s="6" t="s">
        <v>1739</v>
      </c>
      <c r="D12" s="6" t="s">
        <v>156</v>
      </c>
      <c r="E12" s="6" t="s">
        <v>1744</v>
      </c>
      <c r="F12" s="6" t="s">
        <v>1678</v>
      </c>
      <c r="G12" s="6" t="s">
        <v>158</v>
      </c>
      <c r="H12" s="6" t="s">
        <v>1690</v>
      </c>
      <c r="I12" s="6" t="s">
        <v>1691</v>
      </c>
      <c r="J12" s="6" t="s">
        <v>104</v>
      </c>
      <c r="K12" s="6" t="s">
        <v>105</v>
      </c>
      <c r="L12" s="6" t="s">
        <v>185</v>
      </c>
      <c r="M12" s="6" t="s">
        <v>1745</v>
      </c>
      <c r="N12" s="6" t="s">
        <v>163</v>
      </c>
      <c r="O12" s="6" t="s">
        <v>1746</v>
      </c>
      <c r="P12" s="6"/>
    </row>
    <row r="13" customFormat="false" ht="32.8" hidden="false" customHeight="false" outlineLevel="0" collapsed="false">
      <c r="A13" s="6" t="s">
        <v>1747</v>
      </c>
      <c r="B13" s="6" t="s">
        <v>1748</v>
      </c>
      <c r="C13" s="6" t="s">
        <v>1739</v>
      </c>
      <c r="D13" s="6" t="s">
        <v>156</v>
      </c>
      <c r="E13" s="6" t="s">
        <v>1749</v>
      </c>
      <c r="F13" s="6" t="s">
        <v>1678</v>
      </c>
      <c r="G13" s="6" t="s">
        <v>1750</v>
      </c>
      <c r="H13" s="6" t="s">
        <v>1680</v>
      </c>
      <c r="I13" s="6" t="s">
        <v>1691</v>
      </c>
      <c r="J13" s="6" t="s">
        <v>184</v>
      </c>
      <c r="K13" s="6" t="s">
        <v>120</v>
      </c>
      <c r="L13" s="6" t="s">
        <v>185</v>
      </c>
      <c r="M13" s="6" t="s">
        <v>1751</v>
      </c>
      <c r="N13" s="6" t="s">
        <v>163</v>
      </c>
      <c r="O13" s="6" t="s">
        <v>1752</v>
      </c>
      <c r="P13" s="6"/>
    </row>
    <row r="14" customFormat="false" ht="32.8" hidden="false" customHeight="false" outlineLevel="0" collapsed="false">
      <c r="A14" s="6" t="s">
        <v>1753</v>
      </c>
      <c r="B14" s="6" t="s">
        <v>1754</v>
      </c>
      <c r="C14" s="6" t="s">
        <v>1739</v>
      </c>
      <c r="D14" s="6" t="s">
        <v>156</v>
      </c>
      <c r="E14" s="6" t="s">
        <v>1755</v>
      </c>
      <c r="F14" s="6" t="s">
        <v>1678</v>
      </c>
      <c r="G14" s="6" t="s">
        <v>1750</v>
      </c>
      <c r="H14" s="6" t="s">
        <v>1680</v>
      </c>
      <c r="I14" s="6" t="s">
        <v>1727</v>
      </c>
      <c r="J14" s="6" t="s">
        <v>184</v>
      </c>
      <c r="K14" s="6" t="s">
        <v>120</v>
      </c>
      <c r="L14" s="6" t="s">
        <v>185</v>
      </c>
      <c r="M14" s="6" t="s">
        <v>1756</v>
      </c>
      <c r="N14" s="6" t="s">
        <v>163</v>
      </c>
      <c r="O14" s="6" t="s">
        <v>1757</v>
      </c>
      <c r="P14" s="6"/>
    </row>
    <row r="15" customFormat="false" ht="32.8" hidden="false" customHeight="false" outlineLevel="0" collapsed="false">
      <c r="A15" s="6" t="s">
        <v>237</v>
      </c>
      <c r="B15" s="6" t="s">
        <v>1758</v>
      </c>
      <c r="C15" s="6" t="s">
        <v>578</v>
      </c>
      <c r="D15" s="6" t="s">
        <v>200</v>
      </c>
      <c r="E15" s="6" t="s">
        <v>1759</v>
      </c>
      <c r="F15" s="6" t="s">
        <v>1678</v>
      </c>
      <c r="G15" s="6" t="s">
        <v>202</v>
      </c>
      <c r="H15" s="6" t="s">
        <v>1721</v>
      </c>
      <c r="I15" s="6" t="s">
        <v>1691</v>
      </c>
      <c r="J15" s="6" t="s">
        <v>119</v>
      </c>
      <c r="K15" s="6" t="s">
        <v>105</v>
      </c>
      <c r="L15" s="6" t="s">
        <v>236</v>
      </c>
      <c r="M15" s="6" t="s">
        <v>1760</v>
      </c>
      <c r="N15" s="6" t="s">
        <v>206</v>
      </c>
      <c r="O15" s="6" t="s">
        <v>1761</v>
      </c>
      <c r="P15" s="6"/>
    </row>
    <row r="16" customFormat="false" ht="32.8" hidden="false" customHeight="false" outlineLevel="0" collapsed="false">
      <c r="A16" s="6" t="s">
        <v>1762</v>
      </c>
      <c r="B16" s="6" t="s">
        <v>1763</v>
      </c>
      <c r="C16" s="6" t="s">
        <v>578</v>
      </c>
      <c r="D16" s="6" t="s">
        <v>210</v>
      </c>
      <c r="E16" s="6" t="s">
        <v>1764</v>
      </c>
      <c r="F16" s="6" t="s">
        <v>1678</v>
      </c>
      <c r="G16" s="6" t="s">
        <v>1765</v>
      </c>
      <c r="H16" s="6" t="s">
        <v>1721</v>
      </c>
      <c r="I16" s="6" t="s">
        <v>1691</v>
      </c>
      <c r="J16" s="6" t="s">
        <v>119</v>
      </c>
      <c r="K16" s="6" t="s">
        <v>105</v>
      </c>
      <c r="L16" s="6" t="s">
        <v>1766</v>
      </c>
      <c r="M16" s="6" t="s">
        <v>1767</v>
      </c>
      <c r="N16" s="6" t="s">
        <v>206</v>
      </c>
      <c r="O16" s="6" t="s">
        <v>1768</v>
      </c>
      <c r="P16" s="6"/>
    </row>
    <row r="17" customFormat="false" ht="32.8" hidden="false" customHeight="false" outlineLevel="0" collapsed="false">
      <c r="A17" s="6" t="s">
        <v>1769</v>
      </c>
      <c r="B17" s="6" t="s">
        <v>1770</v>
      </c>
      <c r="C17" s="6" t="s">
        <v>578</v>
      </c>
      <c r="D17" s="6" t="s">
        <v>200</v>
      </c>
      <c r="E17" s="6" t="s">
        <v>1771</v>
      </c>
      <c r="F17" s="6" t="s">
        <v>1678</v>
      </c>
      <c r="G17" s="6" t="s">
        <v>202</v>
      </c>
      <c r="H17" s="6" t="s">
        <v>1690</v>
      </c>
      <c r="I17" s="6" t="s">
        <v>1691</v>
      </c>
      <c r="J17" s="6" t="s">
        <v>104</v>
      </c>
      <c r="K17" s="6" t="s">
        <v>105</v>
      </c>
      <c r="L17" s="6" t="s">
        <v>236</v>
      </c>
      <c r="M17" s="6" t="s">
        <v>1772</v>
      </c>
      <c r="N17" s="6" t="s">
        <v>206</v>
      </c>
      <c r="O17" s="6" t="s">
        <v>1773</v>
      </c>
      <c r="P17" s="6"/>
    </row>
    <row r="18" customFormat="false" ht="32.8" hidden="false" customHeight="false" outlineLevel="0" collapsed="false">
      <c r="A18" s="6" t="s">
        <v>1774</v>
      </c>
      <c r="B18" s="6" t="s">
        <v>1775</v>
      </c>
      <c r="C18" s="6" t="s">
        <v>578</v>
      </c>
      <c r="D18" s="6" t="s">
        <v>210</v>
      </c>
      <c r="E18" s="6" t="s">
        <v>1776</v>
      </c>
      <c r="F18" s="6" t="s">
        <v>1678</v>
      </c>
      <c r="G18" s="6" t="s">
        <v>1765</v>
      </c>
      <c r="H18" s="6" t="s">
        <v>1690</v>
      </c>
      <c r="I18" s="6" t="s">
        <v>1691</v>
      </c>
      <c r="J18" s="6" t="s">
        <v>104</v>
      </c>
      <c r="K18" s="6" t="s">
        <v>105</v>
      </c>
      <c r="L18" s="6" t="s">
        <v>1766</v>
      </c>
      <c r="M18" s="6" t="s">
        <v>1772</v>
      </c>
      <c r="N18" s="6" t="s">
        <v>206</v>
      </c>
      <c r="O18" s="6" t="s">
        <v>1777</v>
      </c>
      <c r="P18" s="6"/>
    </row>
    <row r="19" customFormat="false" ht="32.8" hidden="false" customHeight="false" outlineLevel="0" collapsed="false">
      <c r="A19" s="6" t="s">
        <v>1778</v>
      </c>
      <c r="B19" s="6" t="s">
        <v>1779</v>
      </c>
      <c r="C19" s="6" t="s">
        <v>578</v>
      </c>
      <c r="D19" s="6" t="s">
        <v>200</v>
      </c>
      <c r="E19" s="6" t="s">
        <v>1780</v>
      </c>
      <c r="F19" s="6" t="s">
        <v>1697</v>
      </c>
      <c r="G19" s="6" t="s">
        <v>1781</v>
      </c>
      <c r="H19" s="6" t="s">
        <v>1698</v>
      </c>
      <c r="I19" s="6" t="s">
        <v>1727</v>
      </c>
      <c r="J19" s="6" t="s">
        <v>184</v>
      </c>
      <c r="K19" s="6" t="s">
        <v>105</v>
      </c>
      <c r="L19" s="6" t="s">
        <v>222</v>
      </c>
      <c r="M19" s="6" t="s">
        <v>1782</v>
      </c>
      <c r="N19" s="6" t="s">
        <v>206</v>
      </c>
      <c r="O19" s="6" t="s">
        <v>1783</v>
      </c>
      <c r="P19" s="6"/>
    </row>
    <row r="20" customFormat="false" ht="32.8" hidden="false" customHeight="false" outlineLevel="0" collapsed="false">
      <c r="A20" s="6" t="s">
        <v>1784</v>
      </c>
      <c r="B20" s="6" t="s">
        <v>1785</v>
      </c>
      <c r="C20" s="6" t="s">
        <v>578</v>
      </c>
      <c r="D20" s="6" t="s">
        <v>200</v>
      </c>
      <c r="E20" s="6" t="s">
        <v>1786</v>
      </c>
      <c r="F20" s="6" t="s">
        <v>1678</v>
      </c>
      <c r="G20" s="6" t="s">
        <v>1787</v>
      </c>
      <c r="H20" s="6" t="s">
        <v>1680</v>
      </c>
      <c r="I20" s="6" t="s">
        <v>1734</v>
      </c>
      <c r="J20" s="6" t="s">
        <v>184</v>
      </c>
      <c r="K20" s="6" t="s">
        <v>120</v>
      </c>
      <c r="L20" s="6" t="s">
        <v>222</v>
      </c>
      <c r="M20" s="6" t="s">
        <v>1788</v>
      </c>
      <c r="N20" s="6" t="s">
        <v>206</v>
      </c>
      <c r="O20" s="6" t="s">
        <v>1789</v>
      </c>
      <c r="P20" s="6"/>
    </row>
    <row r="21" customFormat="false" ht="32.8" hidden="false" customHeight="false" outlineLevel="0" collapsed="false">
      <c r="A21" s="6" t="s">
        <v>1790</v>
      </c>
      <c r="B21" s="6" t="s">
        <v>1791</v>
      </c>
      <c r="C21" s="6" t="s">
        <v>412</v>
      </c>
      <c r="D21" s="6" t="s">
        <v>414</v>
      </c>
      <c r="E21" s="6" t="s">
        <v>1792</v>
      </c>
      <c r="F21" s="6" t="s">
        <v>1678</v>
      </c>
      <c r="G21" s="6" t="s">
        <v>416</v>
      </c>
      <c r="H21" s="6" t="s">
        <v>1680</v>
      </c>
      <c r="I21" s="6" t="s">
        <v>1681</v>
      </c>
      <c r="J21" s="6" t="s">
        <v>119</v>
      </c>
      <c r="K21" s="6" t="s">
        <v>193</v>
      </c>
      <c r="L21" s="6" t="s">
        <v>418</v>
      </c>
      <c r="M21" s="6" t="s">
        <v>1793</v>
      </c>
      <c r="N21" s="6" t="s">
        <v>420</v>
      </c>
      <c r="O21" s="6" t="s">
        <v>1794</v>
      </c>
      <c r="P21" s="6"/>
    </row>
    <row r="22" customFormat="false" ht="32.8" hidden="false" customHeight="false" outlineLevel="0" collapsed="false">
      <c r="A22" s="6" t="s">
        <v>1795</v>
      </c>
      <c r="B22" s="6" t="s">
        <v>1796</v>
      </c>
      <c r="C22" s="6" t="s">
        <v>412</v>
      </c>
      <c r="D22" s="6" t="s">
        <v>414</v>
      </c>
      <c r="E22" s="6" t="s">
        <v>1797</v>
      </c>
      <c r="F22" s="6" t="s">
        <v>1678</v>
      </c>
      <c r="G22" s="6" t="s">
        <v>416</v>
      </c>
      <c r="H22" s="6" t="s">
        <v>1680</v>
      </c>
      <c r="I22" s="6" t="s">
        <v>1691</v>
      </c>
      <c r="J22" s="6" t="s">
        <v>119</v>
      </c>
      <c r="K22" s="6" t="s">
        <v>193</v>
      </c>
      <c r="L22" s="6" t="s">
        <v>418</v>
      </c>
      <c r="M22" s="6" t="s">
        <v>1798</v>
      </c>
      <c r="N22" s="6" t="s">
        <v>420</v>
      </c>
      <c r="O22" s="6" t="s">
        <v>1799</v>
      </c>
      <c r="P22" s="6"/>
    </row>
    <row r="23" customFormat="false" ht="32.8" hidden="false" customHeight="false" outlineLevel="0" collapsed="false">
      <c r="A23" s="6" t="s">
        <v>1800</v>
      </c>
      <c r="B23" s="6" t="s">
        <v>1801</v>
      </c>
      <c r="C23" s="6" t="s">
        <v>412</v>
      </c>
      <c r="D23" s="6" t="s">
        <v>414</v>
      </c>
      <c r="E23" s="6" t="s">
        <v>1802</v>
      </c>
      <c r="F23" s="6" t="s">
        <v>1678</v>
      </c>
      <c r="G23" s="6" t="s">
        <v>416</v>
      </c>
      <c r="H23" s="6" t="s">
        <v>1680</v>
      </c>
      <c r="I23" s="6" t="s">
        <v>1691</v>
      </c>
      <c r="J23" s="6" t="s">
        <v>119</v>
      </c>
      <c r="K23" s="6" t="s">
        <v>193</v>
      </c>
      <c r="L23" s="6" t="s">
        <v>418</v>
      </c>
      <c r="M23" s="6" t="s">
        <v>1803</v>
      </c>
      <c r="N23" s="6" t="s">
        <v>420</v>
      </c>
      <c r="O23" s="6" t="s">
        <v>1804</v>
      </c>
      <c r="P23" s="6"/>
    </row>
    <row r="24" customFormat="false" ht="32.8" hidden="false" customHeight="false" outlineLevel="0" collapsed="false">
      <c r="A24" s="6" t="s">
        <v>483</v>
      </c>
      <c r="B24" s="6" t="s">
        <v>1805</v>
      </c>
      <c r="C24" s="6" t="s">
        <v>1806</v>
      </c>
      <c r="D24" s="6" t="s">
        <v>414</v>
      </c>
      <c r="E24" s="6" t="s">
        <v>1807</v>
      </c>
      <c r="F24" s="6" t="s">
        <v>1678</v>
      </c>
      <c r="G24" s="6" t="s">
        <v>1808</v>
      </c>
      <c r="H24" s="6" t="s">
        <v>1721</v>
      </c>
      <c r="I24" s="6" t="s">
        <v>1681</v>
      </c>
      <c r="J24" s="6" t="s">
        <v>119</v>
      </c>
      <c r="K24" s="6" t="s">
        <v>193</v>
      </c>
      <c r="L24" s="6" t="s">
        <v>449</v>
      </c>
      <c r="M24" s="6" t="s">
        <v>1809</v>
      </c>
      <c r="N24" s="6" t="s">
        <v>451</v>
      </c>
      <c r="O24" s="6" t="s">
        <v>1810</v>
      </c>
      <c r="P24" s="6"/>
    </row>
    <row r="25" customFormat="false" ht="32.8" hidden="false" customHeight="false" outlineLevel="0" collapsed="false">
      <c r="A25" s="6" t="s">
        <v>670</v>
      </c>
      <c r="B25" s="6" t="s">
        <v>1811</v>
      </c>
      <c r="C25" s="6" t="s">
        <v>1806</v>
      </c>
      <c r="D25" s="6" t="s">
        <v>445</v>
      </c>
      <c r="E25" s="6" t="s">
        <v>1812</v>
      </c>
      <c r="F25" s="6" t="s">
        <v>1688</v>
      </c>
      <c r="G25" s="6" t="s">
        <v>1813</v>
      </c>
      <c r="H25" s="6" t="s">
        <v>1690</v>
      </c>
      <c r="I25" s="6" t="s">
        <v>1691</v>
      </c>
      <c r="J25" s="6" t="s">
        <v>184</v>
      </c>
      <c r="K25" s="6" t="s">
        <v>193</v>
      </c>
      <c r="L25" s="6" t="s">
        <v>669</v>
      </c>
      <c r="M25" s="6" t="s">
        <v>1814</v>
      </c>
      <c r="N25" s="6" t="s">
        <v>451</v>
      </c>
      <c r="O25" s="6" t="s">
        <v>1815</v>
      </c>
      <c r="P25" s="6"/>
    </row>
    <row r="26" customFormat="false" ht="64.15" hidden="false" customHeight="false" outlineLevel="0" collapsed="false">
      <c r="A26" s="6" t="s">
        <v>1816</v>
      </c>
      <c r="B26" s="6" t="s">
        <v>1817</v>
      </c>
      <c r="C26" s="6" t="s">
        <v>578</v>
      </c>
      <c r="D26" s="6" t="s">
        <v>580</v>
      </c>
      <c r="E26" s="6" t="s">
        <v>1818</v>
      </c>
      <c r="F26" s="6" t="s">
        <v>1678</v>
      </c>
      <c r="G26" s="6" t="s">
        <v>582</v>
      </c>
      <c r="H26" s="6" t="s">
        <v>1680</v>
      </c>
      <c r="I26" s="6" t="s">
        <v>1691</v>
      </c>
      <c r="J26" s="6" t="s">
        <v>104</v>
      </c>
      <c r="K26" s="6" t="s">
        <v>105</v>
      </c>
      <c r="L26" s="6" t="s">
        <v>593</v>
      </c>
      <c r="M26" s="6" t="s">
        <v>1819</v>
      </c>
      <c r="N26" s="6" t="s">
        <v>206</v>
      </c>
      <c r="O26" s="6" t="s">
        <v>1820</v>
      </c>
      <c r="P26" s="6" t="s">
        <v>1821</v>
      </c>
    </row>
    <row r="27" customFormat="false" ht="32.8" hidden="false" customHeight="false" outlineLevel="0" collapsed="false">
      <c r="A27" s="6" t="s">
        <v>1822</v>
      </c>
      <c r="B27" s="6" t="s">
        <v>1823</v>
      </c>
      <c r="C27" s="6" t="s">
        <v>578</v>
      </c>
      <c r="D27" s="6" t="s">
        <v>580</v>
      </c>
      <c r="E27" s="6" t="s">
        <v>1824</v>
      </c>
      <c r="F27" s="6" t="s">
        <v>1678</v>
      </c>
      <c r="G27" s="6" t="s">
        <v>1825</v>
      </c>
      <c r="H27" s="6" t="s">
        <v>1721</v>
      </c>
      <c r="I27" s="6" t="s">
        <v>1727</v>
      </c>
      <c r="J27" s="6" t="s">
        <v>119</v>
      </c>
      <c r="K27" s="6" t="s">
        <v>105</v>
      </c>
      <c r="L27" s="6" t="s">
        <v>593</v>
      </c>
      <c r="M27" s="6" t="s">
        <v>1826</v>
      </c>
      <c r="N27" s="6" t="s">
        <v>206</v>
      </c>
      <c r="O27" s="6" t="s">
        <v>1827</v>
      </c>
      <c r="P27" s="6"/>
    </row>
    <row r="28" customFormat="false" ht="32.8" hidden="false" customHeight="false" outlineLevel="0" collapsed="false">
      <c r="A28" s="6" t="s">
        <v>1828</v>
      </c>
      <c r="B28" s="6" t="s">
        <v>1829</v>
      </c>
      <c r="C28" s="6" t="s">
        <v>578</v>
      </c>
      <c r="D28" s="6" t="s">
        <v>580</v>
      </c>
      <c r="E28" s="6" t="s">
        <v>1830</v>
      </c>
      <c r="F28" s="6" t="s">
        <v>1697</v>
      </c>
      <c r="G28" s="6" t="s">
        <v>582</v>
      </c>
      <c r="H28" s="6" t="s">
        <v>1698</v>
      </c>
      <c r="I28" s="6" t="s">
        <v>1734</v>
      </c>
      <c r="J28" s="6" t="s">
        <v>184</v>
      </c>
      <c r="K28" s="6" t="s">
        <v>120</v>
      </c>
      <c r="L28" s="6" t="s">
        <v>593</v>
      </c>
      <c r="M28" s="6" t="s">
        <v>1831</v>
      </c>
      <c r="N28" s="6" t="s">
        <v>206</v>
      </c>
      <c r="O28" s="6" t="s">
        <v>1832</v>
      </c>
      <c r="P28" s="6"/>
    </row>
    <row r="29" customFormat="false" ht="32.8" hidden="false" customHeight="false" outlineLevel="0" collapsed="false">
      <c r="A29" s="6" t="s">
        <v>263</v>
      </c>
      <c r="B29" s="6" t="s">
        <v>1833</v>
      </c>
      <c r="C29" s="6" t="s">
        <v>241</v>
      </c>
      <c r="D29" s="6" t="s">
        <v>243</v>
      </c>
      <c r="E29" s="6" t="s">
        <v>1834</v>
      </c>
      <c r="F29" s="6" t="s">
        <v>1678</v>
      </c>
      <c r="G29" s="6" t="s">
        <v>268</v>
      </c>
      <c r="H29" s="6" t="s">
        <v>1721</v>
      </c>
      <c r="I29" s="6" t="s">
        <v>1727</v>
      </c>
      <c r="J29" s="6" t="s">
        <v>119</v>
      </c>
      <c r="K29" s="6" t="s">
        <v>120</v>
      </c>
      <c r="L29" s="6" t="s">
        <v>262</v>
      </c>
      <c r="M29" s="6" t="s">
        <v>1835</v>
      </c>
      <c r="N29" s="6" t="s">
        <v>163</v>
      </c>
      <c r="O29" s="6" t="s">
        <v>1836</v>
      </c>
      <c r="P29" s="6"/>
    </row>
    <row r="30" customFormat="false" ht="74.6" hidden="false" customHeight="false" outlineLevel="0" collapsed="false">
      <c r="A30" s="6" t="s">
        <v>1837</v>
      </c>
      <c r="B30" s="6" t="s">
        <v>1838</v>
      </c>
      <c r="C30" s="6" t="s">
        <v>241</v>
      </c>
      <c r="D30" s="6" t="s">
        <v>243</v>
      </c>
      <c r="E30" s="6" t="s">
        <v>1839</v>
      </c>
      <c r="F30" s="6" t="s">
        <v>1678</v>
      </c>
      <c r="G30" s="6" t="s">
        <v>268</v>
      </c>
      <c r="H30" s="6" t="s">
        <v>1680</v>
      </c>
      <c r="I30" s="6" t="s">
        <v>1734</v>
      </c>
      <c r="J30" s="6" t="s">
        <v>184</v>
      </c>
      <c r="K30" s="6" t="s">
        <v>120</v>
      </c>
      <c r="L30" s="6" t="s">
        <v>262</v>
      </c>
      <c r="M30" s="6" t="s">
        <v>1840</v>
      </c>
      <c r="N30" s="6" t="s">
        <v>163</v>
      </c>
      <c r="O30" s="6" t="s">
        <v>1841</v>
      </c>
      <c r="P30" s="6" t="s">
        <v>1842</v>
      </c>
    </row>
    <row r="31" customFormat="false" ht="32.8" hidden="false" customHeight="false" outlineLevel="0" collapsed="false">
      <c r="A31" s="6" t="s">
        <v>1843</v>
      </c>
      <c r="B31" s="6" t="s">
        <v>1844</v>
      </c>
      <c r="C31" s="6" t="s">
        <v>241</v>
      </c>
      <c r="D31" s="6" t="s">
        <v>243</v>
      </c>
      <c r="E31" s="6" t="s">
        <v>1845</v>
      </c>
      <c r="F31" s="6" t="s">
        <v>1678</v>
      </c>
      <c r="G31" s="6" t="s">
        <v>268</v>
      </c>
      <c r="H31" s="6" t="s">
        <v>1690</v>
      </c>
      <c r="I31" s="6" t="s">
        <v>1734</v>
      </c>
      <c r="J31" s="6" t="s">
        <v>184</v>
      </c>
      <c r="K31" s="6" t="s">
        <v>120</v>
      </c>
      <c r="L31" s="6" t="s">
        <v>262</v>
      </c>
      <c r="M31" s="6" t="s">
        <v>1846</v>
      </c>
      <c r="N31" s="6" t="s">
        <v>163</v>
      </c>
      <c r="O31" s="6" t="s">
        <v>1847</v>
      </c>
      <c r="P31" s="6"/>
    </row>
    <row r="32" customFormat="false" ht="32.8" hidden="false" customHeight="false" outlineLevel="0" collapsed="false">
      <c r="A32" s="6" t="s">
        <v>376</v>
      </c>
      <c r="B32" s="6" t="s">
        <v>1848</v>
      </c>
      <c r="C32" s="6" t="s">
        <v>1849</v>
      </c>
      <c r="D32" s="6" t="s">
        <v>156</v>
      </c>
      <c r="E32" s="6" t="s">
        <v>1850</v>
      </c>
      <c r="F32" s="6" t="s">
        <v>1678</v>
      </c>
      <c r="G32" s="6" t="s">
        <v>644</v>
      </c>
      <c r="H32" s="6" t="s">
        <v>1680</v>
      </c>
      <c r="I32" s="6" t="s">
        <v>1727</v>
      </c>
      <c r="J32" s="6" t="s">
        <v>184</v>
      </c>
      <c r="K32" s="6" t="s">
        <v>120</v>
      </c>
      <c r="L32" s="6" t="s">
        <v>653</v>
      </c>
      <c r="M32" s="6" t="s">
        <v>1851</v>
      </c>
      <c r="N32" s="6" t="s">
        <v>368</v>
      </c>
      <c r="O32" s="6" t="s">
        <v>1852</v>
      </c>
      <c r="P32" s="6"/>
    </row>
    <row r="33" customFormat="false" ht="32.8" hidden="false" customHeight="false" outlineLevel="0" collapsed="false">
      <c r="A33" s="6" t="s">
        <v>1853</v>
      </c>
      <c r="B33" s="6" t="s">
        <v>1854</v>
      </c>
      <c r="C33" s="6" t="s">
        <v>1849</v>
      </c>
      <c r="D33" s="6" t="s">
        <v>156</v>
      </c>
      <c r="E33" s="6" t="s">
        <v>1855</v>
      </c>
      <c r="F33" s="6" t="s">
        <v>1678</v>
      </c>
      <c r="G33" s="6" t="s">
        <v>644</v>
      </c>
      <c r="H33" s="6" t="s">
        <v>1721</v>
      </c>
      <c r="I33" s="6" t="s">
        <v>1727</v>
      </c>
      <c r="J33" s="6" t="s">
        <v>184</v>
      </c>
      <c r="K33" s="6" t="s">
        <v>120</v>
      </c>
      <c r="L33" s="6" t="s">
        <v>1856</v>
      </c>
      <c r="M33" s="6" t="s">
        <v>1857</v>
      </c>
      <c r="N33" s="6" t="s">
        <v>368</v>
      </c>
      <c r="O33" s="6" t="s">
        <v>1858</v>
      </c>
      <c r="P33" s="6"/>
    </row>
    <row r="34" customFormat="false" ht="32.8" hidden="false" customHeight="false" outlineLevel="0" collapsed="false">
      <c r="A34" s="6" t="s">
        <v>1859</v>
      </c>
      <c r="B34" s="6" t="s">
        <v>1860</v>
      </c>
      <c r="C34" s="6" t="s">
        <v>1849</v>
      </c>
      <c r="D34" s="6" t="s">
        <v>156</v>
      </c>
      <c r="E34" s="6" t="s">
        <v>1861</v>
      </c>
      <c r="F34" s="6" t="s">
        <v>1678</v>
      </c>
      <c r="G34" s="6" t="s">
        <v>644</v>
      </c>
      <c r="H34" s="6" t="s">
        <v>1680</v>
      </c>
      <c r="I34" s="6" t="s">
        <v>1727</v>
      </c>
      <c r="J34" s="6" t="s">
        <v>184</v>
      </c>
      <c r="K34" s="6" t="s">
        <v>120</v>
      </c>
      <c r="L34" s="6" t="s">
        <v>1856</v>
      </c>
      <c r="M34" s="6" t="s">
        <v>1862</v>
      </c>
      <c r="N34" s="6" t="s">
        <v>368</v>
      </c>
      <c r="O34" s="6" t="s">
        <v>1863</v>
      </c>
      <c r="P34" s="6"/>
    </row>
    <row r="35" customFormat="false" ht="32.8" hidden="false" customHeight="false" outlineLevel="0" collapsed="false">
      <c r="A35" s="6" t="s">
        <v>537</v>
      </c>
      <c r="B35" s="6" t="s">
        <v>1864</v>
      </c>
      <c r="C35" s="6" t="s">
        <v>509</v>
      </c>
      <c r="D35" s="6" t="s">
        <v>1024</v>
      </c>
      <c r="E35" s="6" t="s">
        <v>1865</v>
      </c>
      <c r="F35" s="6" t="s">
        <v>1678</v>
      </c>
      <c r="G35" s="6" t="s">
        <v>1866</v>
      </c>
      <c r="H35" s="6" t="s">
        <v>1721</v>
      </c>
      <c r="I35" s="6" t="s">
        <v>1727</v>
      </c>
      <c r="J35" s="6" t="s">
        <v>184</v>
      </c>
      <c r="K35" s="6" t="s">
        <v>120</v>
      </c>
      <c r="L35" s="6" t="s">
        <v>536</v>
      </c>
      <c r="M35" s="6" t="s">
        <v>1867</v>
      </c>
      <c r="N35" s="6" t="s">
        <v>518</v>
      </c>
      <c r="O35" s="6" t="s">
        <v>1868</v>
      </c>
      <c r="P35" s="6"/>
    </row>
    <row r="36" customFormat="false" ht="32.8" hidden="false" customHeight="false" outlineLevel="0" collapsed="false">
      <c r="A36" s="6" t="s">
        <v>1869</v>
      </c>
      <c r="B36" s="6" t="s">
        <v>1870</v>
      </c>
      <c r="C36" s="6" t="s">
        <v>509</v>
      </c>
      <c r="D36" s="6" t="s">
        <v>511</v>
      </c>
      <c r="E36" s="6" t="s">
        <v>1871</v>
      </c>
      <c r="F36" s="6" t="s">
        <v>1678</v>
      </c>
      <c r="G36" s="6" t="s">
        <v>1872</v>
      </c>
      <c r="H36" s="6" t="s">
        <v>1680</v>
      </c>
      <c r="I36" s="6" t="s">
        <v>1734</v>
      </c>
      <c r="J36" s="6" t="s">
        <v>119</v>
      </c>
      <c r="K36" s="6" t="s">
        <v>105</v>
      </c>
      <c r="L36" s="6" t="s">
        <v>1873</v>
      </c>
      <c r="M36" s="6" t="s">
        <v>1874</v>
      </c>
      <c r="N36" s="6" t="s">
        <v>518</v>
      </c>
      <c r="O36" s="6" t="s">
        <v>1875</v>
      </c>
      <c r="P36" s="6"/>
    </row>
    <row r="37" customFormat="false" ht="32.8" hidden="false" customHeight="false" outlineLevel="0" collapsed="false">
      <c r="A37" s="6" t="s">
        <v>1876</v>
      </c>
      <c r="B37" s="6" t="s">
        <v>1877</v>
      </c>
      <c r="C37" s="6" t="s">
        <v>509</v>
      </c>
      <c r="D37" s="6" t="s">
        <v>523</v>
      </c>
      <c r="E37" s="6" t="s">
        <v>1878</v>
      </c>
      <c r="F37" s="6" t="s">
        <v>1678</v>
      </c>
      <c r="G37" s="6" t="s">
        <v>525</v>
      </c>
      <c r="H37" s="6" t="s">
        <v>1721</v>
      </c>
      <c r="I37" s="6" t="s">
        <v>1734</v>
      </c>
      <c r="J37" s="6" t="s">
        <v>184</v>
      </c>
      <c r="K37" s="6" t="s">
        <v>120</v>
      </c>
      <c r="L37" s="6" t="s">
        <v>1873</v>
      </c>
      <c r="M37" s="6" t="s">
        <v>1879</v>
      </c>
      <c r="N37" s="6" t="s">
        <v>518</v>
      </c>
      <c r="O37" s="6" t="s">
        <v>1880</v>
      </c>
      <c r="P37" s="6"/>
    </row>
    <row r="38" customFormat="false" ht="32.8" hidden="false" customHeight="false" outlineLevel="0" collapsed="false">
      <c r="A38" s="6" t="s">
        <v>1881</v>
      </c>
      <c r="B38" s="6" t="s">
        <v>1882</v>
      </c>
      <c r="C38" s="6" t="s">
        <v>487</v>
      </c>
      <c r="D38" s="6" t="s">
        <v>489</v>
      </c>
      <c r="E38" s="6" t="s">
        <v>1883</v>
      </c>
      <c r="F38" s="6" t="s">
        <v>1678</v>
      </c>
      <c r="G38" s="6" t="s">
        <v>1884</v>
      </c>
      <c r="H38" s="6" t="s">
        <v>1721</v>
      </c>
      <c r="I38" s="6" t="s">
        <v>1734</v>
      </c>
      <c r="J38" s="6" t="s">
        <v>184</v>
      </c>
      <c r="K38" s="6" t="s">
        <v>120</v>
      </c>
      <c r="L38" s="6" t="s">
        <v>504</v>
      </c>
      <c r="M38" s="6" t="s">
        <v>1885</v>
      </c>
      <c r="N38" s="6" t="s">
        <v>495</v>
      </c>
      <c r="O38" s="6" t="s">
        <v>1886</v>
      </c>
      <c r="P38" s="6"/>
    </row>
    <row r="39" customFormat="false" ht="32.8" hidden="false" customHeight="false" outlineLevel="0" collapsed="false">
      <c r="A39" s="6" t="s">
        <v>505</v>
      </c>
      <c r="B39" s="6" t="s">
        <v>1887</v>
      </c>
      <c r="C39" s="6" t="s">
        <v>487</v>
      </c>
      <c r="D39" s="6" t="s">
        <v>500</v>
      </c>
      <c r="E39" s="6" t="s">
        <v>1888</v>
      </c>
      <c r="F39" s="6" t="s">
        <v>1678</v>
      </c>
      <c r="G39" s="6" t="s">
        <v>1889</v>
      </c>
      <c r="H39" s="6" t="s">
        <v>1680</v>
      </c>
      <c r="I39" s="6" t="s">
        <v>1734</v>
      </c>
      <c r="J39" s="6" t="s">
        <v>184</v>
      </c>
      <c r="K39" s="6" t="s">
        <v>193</v>
      </c>
      <c r="L39" s="6"/>
      <c r="M39" s="6" t="s">
        <v>1890</v>
      </c>
      <c r="N39" s="6" t="s">
        <v>495</v>
      </c>
      <c r="O39" s="6" t="s">
        <v>1891</v>
      </c>
      <c r="P39" s="6"/>
    </row>
    <row r="40" customFormat="false" ht="32.8" hidden="false" customHeight="false" outlineLevel="0" collapsed="false">
      <c r="A40" s="6" t="s">
        <v>1892</v>
      </c>
      <c r="B40" s="6" t="s">
        <v>1893</v>
      </c>
      <c r="C40" s="6" t="s">
        <v>606</v>
      </c>
      <c r="D40" s="6" t="s">
        <v>607</v>
      </c>
      <c r="E40" s="6" t="s">
        <v>1894</v>
      </c>
      <c r="F40" s="6" t="s">
        <v>1678</v>
      </c>
      <c r="G40" s="6" t="s">
        <v>609</v>
      </c>
      <c r="H40" s="6" t="s">
        <v>1721</v>
      </c>
      <c r="I40" s="6" t="s">
        <v>1734</v>
      </c>
      <c r="J40" s="6" t="s">
        <v>184</v>
      </c>
      <c r="K40" s="6" t="s">
        <v>120</v>
      </c>
      <c r="L40" s="6" t="s">
        <v>1895</v>
      </c>
      <c r="M40" s="6" t="s">
        <v>1896</v>
      </c>
      <c r="N40" s="6" t="s">
        <v>310</v>
      </c>
      <c r="O40" s="6" t="s">
        <v>1897</v>
      </c>
      <c r="P40" s="6"/>
    </row>
    <row r="41" customFormat="false" ht="32.8" hidden="false" customHeight="false" outlineLevel="0" collapsed="false">
      <c r="A41" s="6" t="s">
        <v>1898</v>
      </c>
      <c r="B41" s="6" t="s">
        <v>1899</v>
      </c>
      <c r="C41" s="6" t="s">
        <v>606</v>
      </c>
      <c r="D41" s="6" t="s">
        <v>607</v>
      </c>
      <c r="E41" s="6" t="s">
        <v>1900</v>
      </c>
      <c r="F41" s="6" t="s">
        <v>1678</v>
      </c>
      <c r="G41" s="6" t="s">
        <v>609</v>
      </c>
      <c r="H41" s="6" t="s">
        <v>1721</v>
      </c>
      <c r="I41" s="6" t="s">
        <v>1727</v>
      </c>
      <c r="J41" s="6" t="s">
        <v>184</v>
      </c>
      <c r="K41" s="6" t="s">
        <v>120</v>
      </c>
      <c r="L41" s="6" t="s">
        <v>629</v>
      </c>
      <c r="M41" s="6" t="s">
        <v>1901</v>
      </c>
      <c r="N41" s="6" t="s">
        <v>310</v>
      </c>
      <c r="O41" s="6" t="s">
        <v>1902</v>
      </c>
      <c r="P41" s="6"/>
    </row>
    <row r="42" customFormat="false" ht="32.8" hidden="false" customHeight="false" outlineLevel="0" collapsed="false">
      <c r="A42" s="6" t="s">
        <v>1903</v>
      </c>
      <c r="B42" s="6" t="s">
        <v>1904</v>
      </c>
      <c r="C42" s="6" t="s">
        <v>606</v>
      </c>
      <c r="D42" s="6" t="s">
        <v>625</v>
      </c>
      <c r="E42" s="6" t="s">
        <v>1905</v>
      </c>
      <c r="F42" s="6" t="s">
        <v>1678</v>
      </c>
      <c r="G42" s="6" t="s">
        <v>609</v>
      </c>
      <c r="H42" s="6" t="s">
        <v>1721</v>
      </c>
      <c r="I42" s="6" t="s">
        <v>1734</v>
      </c>
      <c r="J42" s="6" t="s">
        <v>184</v>
      </c>
      <c r="K42" s="6" t="s">
        <v>120</v>
      </c>
      <c r="L42" s="6" t="s">
        <v>629</v>
      </c>
      <c r="M42" s="6" t="s">
        <v>1906</v>
      </c>
      <c r="N42" s="6" t="s">
        <v>310</v>
      </c>
      <c r="O42" s="6" t="s">
        <v>1907</v>
      </c>
      <c r="P42" s="6"/>
    </row>
    <row r="43" customFormat="false" ht="32.8" hidden="false" customHeight="false" outlineLevel="0" collapsed="false">
      <c r="A43" s="6" t="s">
        <v>1908</v>
      </c>
      <c r="B43" s="6" t="s">
        <v>1909</v>
      </c>
      <c r="C43" s="6" t="s">
        <v>1910</v>
      </c>
      <c r="D43" s="6" t="s">
        <v>881</v>
      </c>
      <c r="E43" s="6" t="s">
        <v>1911</v>
      </c>
      <c r="F43" s="6" t="s">
        <v>1697</v>
      </c>
      <c r="G43" s="6" t="s">
        <v>1912</v>
      </c>
      <c r="H43" s="6" t="s">
        <v>1913</v>
      </c>
      <c r="I43" s="6" t="s">
        <v>1681</v>
      </c>
      <c r="J43" s="6" t="s">
        <v>119</v>
      </c>
      <c r="K43" s="6" t="s">
        <v>193</v>
      </c>
      <c r="L43" s="6" t="s">
        <v>185</v>
      </c>
      <c r="M43" s="6" t="s">
        <v>1914</v>
      </c>
      <c r="N43" s="6" t="s">
        <v>163</v>
      </c>
      <c r="O43" s="6" t="s">
        <v>1915</v>
      </c>
      <c r="P43" s="6"/>
    </row>
    <row r="44" customFormat="false" ht="32.8" hidden="false" customHeight="false" outlineLevel="0" collapsed="false">
      <c r="A44" s="6" t="s">
        <v>1916</v>
      </c>
      <c r="B44" s="6" t="s">
        <v>1917</v>
      </c>
      <c r="C44" s="6" t="s">
        <v>1910</v>
      </c>
      <c r="D44" s="6" t="s">
        <v>881</v>
      </c>
      <c r="E44" s="6" t="s">
        <v>1918</v>
      </c>
      <c r="F44" s="6" t="s">
        <v>1688</v>
      </c>
      <c r="G44" s="6" t="s">
        <v>1912</v>
      </c>
      <c r="H44" s="6" t="s">
        <v>1690</v>
      </c>
      <c r="I44" s="6" t="s">
        <v>1727</v>
      </c>
      <c r="J44" s="6" t="s">
        <v>184</v>
      </c>
      <c r="K44" s="6" t="s">
        <v>120</v>
      </c>
      <c r="L44" s="6"/>
      <c r="M44" s="6" t="s">
        <v>1919</v>
      </c>
      <c r="N44" s="6" t="s">
        <v>163</v>
      </c>
      <c r="O44" s="6" t="s">
        <v>1920</v>
      </c>
      <c r="P44" s="6"/>
    </row>
    <row r="45" customFormat="false" ht="32.8" hidden="false" customHeight="false" outlineLevel="0" collapsed="false">
      <c r="A45" s="6" t="s">
        <v>1921</v>
      </c>
      <c r="B45" s="6" t="s">
        <v>1922</v>
      </c>
      <c r="C45" s="6" t="s">
        <v>1910</v>
      </c>
      <c r="D45" s="6" t="s">
        <v>881</v>
      </c>
      <c r="E45" s="6" t="s">
        <v>1923</v>
      </c>
      <c r="F45" s="6" t="s">
        <v>1678</v>
      </c>
      <c r="G45" s="6" t="s">
        <v>1912</v>
      </c>
      <c r="H45" s="6" t="s">
        <v>1680</v>
      </c>
      <c r="I45" s="6" t="s">
        <v>1734</v>
      </c>
      <c r="J45" s="6" t="s">
        <v>184</v>
      </c>
      <c r="K45" s="6" t="s">
        <v>120</v>
      </c>
      <c r="L45" s="6" t="s">
        <v>185</v>
      </c>
      <c r="M45" s="6" t="s">
        <v>1924</v>
      </c>
      <c r="N45" s="6" t="s">
        <v>163</v>
      </c>
      <c r="O45" s="6" t="s">
        <v>1925</v>
      </c>
      <c r="P45" s="6"/>
    </row>
    <row r="46" customFormat="false" ht="43.25" hidden="false" customHeight="false" outlineLevel="0" collapsed="false">
      <c r="A46" s="6" t="s">
        <v>1926</v>
      </c>
      <c r="B46" s="6" t="s">
        <v>1927</v>
      </c>
      <c r="C46" s="6" t="s">
        <v>1928</v>
      </c>
      <c r="D46" s="6" t="s">
        <v>1929</v>
      </c>
      <c r="E46" s="6" t="s">
        <v>1930</v>
      </c>
      <c r="F46" s="6" t="s">
        <v>1688</v>
      </c>
      <c r="G46" s="6" t="s">
        <v>1931</v>
      </c>
      <c r="H46" s="6" t="s">
        <v>1913</v>
      </c>
      <c r="I46" s="6" t="s">
        <v>1727</v>
      </c>
      <c r="J46" s="6" t="s">
        <v>104</v>
      </c>
      <c r="K46" s="6" t="s">
        <v>193</v>
      </c>
      <c r="L46" s="6"/>
      <c r="M46" s="6" t="s">
        <v>1932</v>
      </c>
      <c r="N46" s="6" t="s">
        <v>1933</v>
      </c>
      <c r="O46" s="6" t="s">
        <v>1934</v>
      </c>
      <c r="P46" s="6"/>
    </row>
    <row r="47" customFormat="false" ht="43.25" hidden="false" customHeight="false" outlineLevel="0" collapsed="false">
      <c r="A47" s="6" t="s">
        <v>1935</v>
      </c>
      <c r="B47" s="6" t="s">
        <v>1936</v>
      </c>
      <c r="C47" s="6" t="s">
        <v>1928</v>
      </c>
      <c r="D47" s="6" t="s">
        <v>1929</v>
      </c>
      <c r="E47" s="6" t="s">
        <v>1937</v>
      </c>
      <c r="F47" s="6" t="s">
        <v>1688</v>
      </c>
      <c r="G47" s="6" t="s">
        <v>1931</v>
      </c>
      <c r="H47" s="6" t="s">
        <v>1913</v>
      </c>
      <c r="I47" s="6" t="s">
        <v>1727</v>
      </c>
      <c r="J47" s="6" t="s">
        <v>104</v>
      </c>
      <c r="K47" s="6" t="s">
        <v>193</v>
      </c>
      <c r="L47" s="6"/>
      <c r="M47" s="6" t="s">
        <v>1938</v>
      </c>
      <c r="N47" s="6" t="s">
        <v>1933</v>
      </c>
      <c r="O47" s="6" t="s">
        <v>1939</v>
      </c>
      <c r="P47" s="6"/>
    </row>
    <row r="48" customFormat="false" ht="43.25" hidden="false" customHeight="false" outlineLevel="0" collapsed="false">
      <c r="A48" s="6" t="s">
        <v>1940</v>
      </c>
      <c r="B48" s="6" t="s">
        <v>1941</v>
      </c>
      <c r="C48" s="6" t="s">
        <v>1942</v>
      </c>
      <c r="D48" s="6" t="s">
        <v>1929</v>
      </c>
      <c r="E48" s="6" t="s">
        <v>1943</v>
      </c>
      <c r="F48" s="6" t="s">
        <v>1688</v>
      </c>
      <c r="G48" s="6" t="s">
        <v>1944</v>
      </c>
      <c r="H48" s="6" t="s">
        <v>1690</v>
      </c>
      <c r="I48" s="6" t="s">
        <v>1691</v>
      </c>
      <c r="J48" s="6" t="s">
        <v>119</v>
      </c>
      <c r="K48" s="6" t="s">
        <v>193</v>
      </c>
      <c r="L48" s="6"/>
      <c r="M48" s="6" t="s">
        <v>1945</v>
      </c>
      <c r="N48" s="6" t="s">
        <v>1933</v>
      </c>
      <c r="O48" s="6" t="s">
        <v>1946</v>
      </c>
      <c r="P48" s="6"/>
    </row>
    <row r="49" customFormat="false" ht="43.25" hidden="false" customHeight="false" outlineLevel="0" collapsed="false">
      <c r="A49" s="6" t="s">
        <v>1947</v>
      </c>
      <c r="B49" s="6" t="s">
        <v>1948</v>
      </c>
      <c r="C49" s="6" t="s">
        <v>1942</v>
      </c>
      <c r="D49" s="6" t="s">
        <v>1929</v>
      </c>
      <c r="E49" s="6" t="s">
        <v>1949</v>
      </c>
      <c r="F49" s="6" t="s">
        <v>1688</v>
      </c>
      <c r="G49" s="6" t="s">
        <v>1944</v>
      </c>
      <c r="H49" s="6" t="s">
        <v>1690</v>
      </c>
      <c r="I49" s="6" t="s">
        <v>1727</v>
      </c>
      <c r="J49" s="6" t="s">
        <v>184</v>
      </c>
      <c r="K49" s="6" t="s">
        <v>193</v>
      </c>
      <c r="L49" s="6"/>
      <c r="M49" s="6" t="s">
        <v>1950</v>
      </c>
      <c r="N49" s="6" t="s">
        <v>1933</v>
      </c>
      <c r="O49" s="6" t="s">
        <v>1951</v>
      </c>
      <c r="P49" s="6"/>
    </row>
    <row r="50" customFormat="false" ht="43.25" hidden="false" customHeight="false" outlineLevel="0" collapsed="false">
      <c r="A50" s="6" t="s">
        <v>1952</v>
      </c>
      <c r="B50" s="6" t="s">
        <v>1953</v>
      </c>
      <c r="C50" s="6" t="s">
        <v>1942</v>
      </c>
      <c r="D50" s="6" t="s">
        <v>1929</v>
      </c>
      <c r="E50" s="6" t="s">
        <v>1954</v>
      </c>
      <c r="F50" s="6" t="s">
        <v>1678</v>
      </c>
      <c r="G50" s="6" t="s">
        <v>1944</v>
      </c>
      <c r="H50" s="6" t="s">
        <v>1721</v>
      </c>
      <c r="I50" s="6" t="s">
        <v>1727</v>
      </c>
      <c r="J50" s="6" t="s">
        <v>184</v>
      </c>
      <c r="K50" s="6" t="s">
        <v>193</v>
      </c>
      <c r="L50" s="6"/>
      <c r="M50" s="6" t="s">
        <v>1955</v>
      </c>
      <c r="N50" s="6" t="s">
        <v>1933</v>
      </c>
      <c r="O50" s="6" t="s">
        <v>1956</v>
      </c>
      <c r="P50" s="6"/>
    </row>
    <row r="51" customFormat="false" ht="32.8" hidden="false" customHeight="false" outlineLevel="0" collapsed="false">
      <c r="A51" s="6" t="s">
        <v>1957</v>
      </c>
      <c r="B51" s="6" t="s">
        <v>1958</v>
      </c>
      <c r="C51" s="6" t="s">
        <v>674</v>
      </c>
      <c r="D51" s="6" t="s">
        <v>675</v>
      </c>
      <c r="E51" s="6" t="s">
        <v>1959</v>
      </c>
      <c r="F51" s="6" t="s">
        <v>1688</v>
      </c>
      <c r="G51" s="6" t="s">
        <v>677</v>
      </c>
      <c r="H51" s="6" t="s">
        <v>1960</v>
      </c>
      <c r="I51" s="6" t="s">
        <v>1681</v>
      </c>
      <c r="J51" s="6" t="s">
        <v>104</v>
      </c>
      <c r="K51" s="6" t="s">
        <v>193</v>
      </c>
      <c r="L51" s="6" t="s">
        <v>1961</v>
      </c>
      <c r="M51" s="6" t="s">
        <v>1962</v>
      </c>
      <c r="N51" s="6" t="s">
        <v>451</v>
      </c>
      <c r="O51" s="6" t="s">
        <v>1963</v>
      </c>
      <c r="P51" s="6"/>
    </row>
    <row r="52" customFormat="false" ht="32.8" hidden="false" customHeight="false" outlineLevel="0" collapsed="false">
      <c r="A52" s="6" t="s">
        <v>1964</v>
      </c>
      <c r="B52" s="6" t="s">
        <v>1965</v>
      </c>
      <c r="C52" s="6" t="s">
        <v>674</v>
      </c>
      <c r="D52" s="6" t="s">
        <v>675</v>
      </c>
      <c r="E52" s="6" t="s">
        <v>1966</v>
      </c>
      <c r="F52" s="6" t="s">
        <v>1688</v>
      </c>
      <c r="G52" s="6" t="s">
        <v>677</v>
      </c>
      <c r="H52" s="6" t="s">
        <v>1690</v>
      </c>
      <c r="I52" s="6" t="s">
        <v>1691</v>
      </c>
      <c r="J52" s="6" t="s">
        <v>119</v>
      </c>
      <c r="K52" s="6" t="s">
        <v>193</v>
      </c>
      <c r="L52" s="6" t="s">
        <v>1967</v>
      </c>
      <c r="M52" s="6" t="s">
        <v>1968</v>
      </c>
      <c r="N52" s="6" t="s">
        <v>451</v>
      </c>
      <c r="O52" s="6" t="s">
        <v>1969</v>
      </c>
      <c r="P52" s="6"/>
    </row>
    <row r="53" customFormat="false" ht="43.25" hidden="false" customHeight="false" outlineLevel="0" collapsed="false">
      <c r="A53" s="6" t="s">
        <v>1970</v>
      </c>
      <c r="B53" s="6" t="s">
        <v>1971</v>
      </c>
      <c r="C53" s="6" t="s">
        <v>1972</v>
      </c>
      <c r="D53" s="6" t="s">
        <v>1676</v>
      </c>
      <c r="E53" s="6" t="s">
        <v>1973</v>
      </c>
      <c r="F53" s="6" t="s">
        <v>1678</v>
      </c>
      <c r="G53" s="6" t="s">
        <v>1974</v>
      </c>
      <c r="H53" s="6" t="s">
        <v>1680</v>
      </c>
      <c r="I53" s="6" t="s">
        <v>1681</v>
      </c>
      <c r="J53" s="6" t="s">
        <v>104</v>
      </c>
      <c r="K53" s="6" t="s">
        <v>193</v>
      </c>
      <c r="L53" s="6" t="s">
        <v>1975</v>
      </c>
      <c r="M53" s="6" t="s">
        <v>1976</v>
      </c>
      <c r="N53" s="6" t="s">
        <v>1933</v>
      </c>
      <c r="O53" s="6" t="s">
        <v>1977</v>
      </c>
      <c r="P53" s="6"/>
    </row>
    <row r="54" customFormat="false" ht="43.25" hidden="false" customHeight="false" outlineLevel="0" collapsed="false">
      <c r="A54" s="6" t="s">
        <v>1978</v>
      </c>
      <c r="B54" s="6" t="s">
        <v>1979</v>
      </c>
      <c r="C54" s="6" t="s">
        <v>1972</v>
      </c>
      <c r="D54" s="6" t="s">
        <v>1676</v>
      </c>
      <c r="E54" s="6" t="s">
        <v>1980</v>
      </c>
      <c r="F54" s="6" t="s">
        <v>1678</v>
      </c>
      <c r="G54" s="6" t="s">
        <v>1981</v>
      </c>
      <c r="H54" s="6" t="s">
        <v>1680</v>
      </c>
      <c r="I54" s="6" t="s">
        <v>1727</v>
      </c>
      <c r="J54" s="6" t="s">
        <v>184</v>
      </c>
      <c r="K54" s="6" t="s">
        <v>193</v>
      </c>
      <c r="L54" s="6" t="s">
        <v>1975</v>
      </c>
      <c r="M54" s="6" t="s">
        <v>1982</v>
      </c>
      <c r="N54" s="6" t="s">
        <v>1933</v>
      </c>
      <c r="O54" s="6" t="s">
        <v>1983</v>
      </c>
      <c r="P54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5"/>
    <col collapsed="false" customWidth="true" hidden="false" outlineLevel="0" max="3" min="3" style="0" width="22"/>
    <col collapsed="false" customWidth="true" hidden="false" outlineLevel="0" max="4" min="4" style="0" width="35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35.05" hidden="false" customHeight="false" outlineLevel="0" collapsed="false">
      <c r="A1" s="10" t="s">
        <v>1984</v>
      </c>
      <c r="B1" s="10" t="s">
        <v>1985</v>
      </c>
      <c r="C1" s="10" t="s">
        <v>1986</v>
      </c>
      <c r="D1" s="10" t="s">
        <v>1987</v>
      </c>
      <c r="E1" s="10" t="s">
        <v>1988</v>
      </c>
      <c r="F1" s="10" t="s">
        <v>1989</v>
      </c>
      <c r="G1" s="10" t="s">
        <v>1990</v>
      </c>
    </row>
    <row r="2" customFormat="false" ht="15" hidden="false" customHeight="false" outlineLevel="0" collapsed="false">
      <c r="A2" s="6" t="s">
        <v>94</v>
      </c>
      <c r="B2" s="6" t="s">
        <v>95</v>
      </c>
      <c r="C2" s="6" t="s">
        <v>320</v>
      </c>
      <c r="D2" s="6" t="s">
        <v>1674</v>
      </c>
      <c r="E2" s="6" t="n">
        <v>1</v>
      </c>
      <c r="F2" s="6" t="s">
        <v>1991</v>
      </c>
      <c r="G2" s="6"/>
    </row>
    <row r="3" customFormat="false" ht="15" hidden="false" customHeight="false" outlineLevel="0" collapsed="false">
      <c r="A3" s="6" t="s">
        <v>94</v>
      </c>
      <c r="B3" s="6" t="s">
        <v>95</v>
      </c>
      <c r="C3" s="6" t="s">
        <v>1701</v>
      </c>
      <c r="D3" s="6" t="s">
        <v>1702</v>
      </c>
      <c r="E3" s="6" t="n">
        <v>2</v>
      </c>
      <c r="F3" s="6" t="s">
        <v>1991</v>
      </c>
      <c r="G3" s="6"/>
    </row>
    <row r="4" customFormat="false" ht="22.35" hidden="false" customHeight="false" outlineLevel="0" collapsed="false">
      <c r="A4" s="6" t="s">
        <v>94</v>
      </c>
      <c r="B4" s="6" t="s">
        <v>95</v>
      </c>
      <c r="C4" s="6" t="s">
        <v>475</v>
      </c>
      <c r="D4" s="6" t="s">
        <v>1712</v>
      </c>
      <c r="E4" s="6" t="n">
        <v>3</v>
      </c>
      <c r="F4" s="6" t="s">
        <v>1992</v>
      </c>
      <c r="G4" s="6"/>
    </row>
    <row r="5" customFormat="false" ht="22.35" hidden="false" customHeight="false" outlineLevel="0" collapsed="false">
      <c r="A5" s="6" t="s">
        <v>94</v>
      </c>
      <c r="B5" s="6" t="s">
        <v>95</v>
      </c>
      <c r="C5" s="6" t="s">
        <v>1737</v>
      </c>
      <c r="D5" s="6" t="s">
        <v>1738</v>
      </c>
      <c r="E5" s="6" t="n">
        <v>4</v>
      </c>
      <c r="F5" s="6" t="s">
        <v>1992</v>
      </c>
      <c r="G5" s="6"/>
    </row>
    <row r="6" customFormat="false" ht="22.35" hidden="false" customHeight="false" outlineLevel="0" collapsed="false">
      <c r="A6" s="6" t="s">
        <v>94</v>
      </c>
      <c r="B6" s="6" t="s">
        <v>95</v>
      </c>
      <c r="C6" s="6" t="s">
        <v>237</v>
      </c>
      <c r="D6" s="6" t="s">
        <v>1758</v>
      </c>
      <c r="E6" s="6" t="n">
        <v>5</v>
      </c>
      <c r="F6" s="6" t="s">
        <v>1992</v>
      </c>
      <c r="G6" s="6"/>
    </row>
    <row r="7" customFormat="false" ht="22.35" hidden="false" customHeight="false" outlineLevel="0" collapsed="false">
      <c r="A7" s="6" t="s">
        <v>94</v>
      </c>
      <c r="B7" s="6" t="s">
        <v>95</v>
      </c>
      <c r="C7" s="6" t="s">
        <v>1762</v>
      </c>
      <c r="D7" s="6" t="s">
        <v>1763</v>
      </c>
      <c r="E7" s="6" t="n">
        <v>6</v>
      </c>
      <c r="F7" s="6" t="s">
        <v>1992</v>
      </c>
      <c r="G7" s="6"/>
    </row>
    <row r="8" customFormat="false" ht="15" hidden="false" customHeight="false" outlineLevel="0" collapsed="false">
      <c r="A8" s="6" t="s">
        <v>111</v>
      </c>
      <c r="B8" s="6" t="s">
        <v>112</v>
      </c>
      <c r="C8" s="6" t="s">
        <v>1707</v>
      </c>
      <c r="D8" s="6" t="s">
        <v>1708</v>
      </c>
      <c r="E8" s="6" t="n">
        <v>1</v>
      </c>
      <c r="F8" s="6" t="s">
        <v>1991</v>
      </c>
      <c r="G8" s="6"/>
    </row>
    <row r="9" customFormat="false" ht="15" hidden="false" customHeight="false" outlineLevel="0" collapsed="false">
      <c r="A9" s="6" t="s">
        <v>111</v>
      </c>
      <c r="B9" s="6" t="s">
        <v>112</v>
      </c>
      <c r="C9" s="6" t="s">
        <v>1694</v>
      </c>
      <c r="D9" s="6" t="s">
        <v>1695</v>
      </c>
      <c r="E9" s="6" t="n">
        <v>2</v>
      </c>
      <c r="F9" s="6" t="s">
        <v>1991</v>
      </c>
      <c r="G9" s="6"/>
    </row>
    <row r="10" customFormat="false" ht="15" hidden="false" customHeight="false" outlineLevel="0" collapsed="false">
      <c r="A10" s="6" t="s">
        <v>124</v>
      </c>
      <c r="B10" s="6" t="s">
        <v>125</v>
      </c>
      <c r="C10" s="6" t="s">
        <v>574</v>
      </c>
      <c r="D10" s="6" t="s">
        <v>1743</v>
      </c>
      <c r="E10" s="6" t="n">
        <v>1</v>
      </c>
      <c r="F10" s="6" t="s">
        <v>1991</v>
      </c>
      <c r="G10" s="6"/>
    </row>
    <row r="11" customFormat="false" ht="15" hidden="false" customHeight="false" outlineLevel="0" collapsed="false">
      <c r="A11" s="6" t="s">
        <v>124</v>
      </c>
      <c r="B11" s="6" t="s">
        <v>125</v>
      </c>
      <c r="C11" s="6" t="s">
        <v>1769</v>
      </c>
      <c r="D11" s="6" t="s">
        <v>1770</v>
      </c>
      <c r="E11" s="6" t="n">
        <v>2</v>
      </c>
      <c r="F11" s="6" t="s">
        <v>1991</v>
      </c>
      <c r="G11" s="6"/>
    </row>
    <row r="12" customFormat="false" ht="22.35" hidden="false" customHeight="false" outlineLevel="0" collapsed="false">
      <c r="A12" s="6" t="s">
        <v>124</v>
      </c>
      <c r="B12" s="6" t="s">
        <v>125</v>
      </c>
      <c r="C12" s="6" t="s">
        <v>1774</v>
      </c>
      <c r="D12" s="6" t="s">
        <v>1775</v>
      </c>
      <c r="E12" s="6" t="n">
        <v>3</v>
      </c>
      <c r="F12" s="6" t="s">
        <v>1992</v>
      </c>
      <c r="G12" s="6"/>
    </row>
    <row r="13" customFormat="false" ht="22.35" hidden="false" customHeight="false" outlineLevel="0" collapsed="false">
      <c r="A13" s="6" t="s">
        <v>124</v>
      </c>
      <c r="B13" s="6" t="s">
        <v>125</v>
      </c>
      <c r="C13" s="6" t="s">
        <v>1707</v>
      </c>
      <c r="D13" s="6" t="s">
        <v>1708</v>
      </c>
      <c r="E13" s="6" t="n">
        <v>4</v>
      </c>
      <c r="F13" s="6" t="s">
        <v>1992</v>
      </c>
      <c r="G13" s="6"/>
    </row>
    <row r="14" customFormat="false" ht="15" hidden="false" customHeight="false" outlineLevel="0" collapsed="false">
      <c r="A14" s="6" t="s">
        <v>133</v>
      </c>
      <c r="B14" s="6" t="s">
        <v>134</v>
      </c>
      <c r="C14" s="6" t="s">
        <v>320</v>
      </c>
      <c r="D14" s="6" t="s">
        <v>1674</v>
      </c>
      <c r="E14" s="6" t="n">
        <v>1</v>
      </c>
      <c r="F14" s="6" t="s">
        <v>1991</v>
      </c>
      <c r="G14" s="6"/>
    </row>
    <row r="15" customFormat="false" ht="15" hidden="false" customHeight="false" outlineLevel="0" collapsed="false">
      <c r="A15" s="6" t="s">
        <v>133</v>
      </c>
      <c r="B15" s="6" t="s">
        <v>134</v>
      </c>
      <c r="C15" s="6" t="s">
        <v>1685</v>
      </c>
      <c r="D15" s="6" t="s">
        <v>1686</v>
      </c>
      <c r="E15" s="6" t="n">
        <v>2</v>
      </c>
      <c r="F15" s="6" t="s">
        <v>1991</v>
      </c>
      <c r="G15" s="6"/>
    </row>
    <row r="16" customFormat="false" ht="22.35" hidden="false" customHeight="false" outlineLevel="0" collapsed="false">
      <c r="A16" s="6" t="s">
        <v>133</v>
      </c>
      <c r="B16" s="6" t="s">
        <v>134</v>
      </c>
      <c r="C16" s="6" t="s">
        <v>1701</v>
      </c>
      <c r="D16" s="6" t="s">
        <v>1702</v>
      </c>
      <c r="E16" s="6" t="n">
        <v>3</v>
      </c>
      <c r="F16" s="6" t="s">
        <v>1992</v>
      </c>
      <c r="G16" s="6"/>
    </row>
    <row r="17" customFormat="false" ht="22.35" hidden="false" customHeight="false" outlineLevel="0" collapsed="false">
      <c r="A17" s="6" t="s">
        <v>143</v>
      </c>
      <c r="B17" s="6" t="s">
        <v>144</v>
      </c>
      <c r="C17" s="6" t="s">
        <v>320</v>
      </c>
      <c r="D17" s="6" t="s">
        <v>1674</v>
      </c>
      <c r="E17" s="6" t="n">
        <v>1</v>
      </c>
      <c r="F17" s="6" t="s">
        <v>1991</v>
      </c>
      <c r="G17" s="6"/>
    </row>
    <row r="18" customFormat="false" ht="22.35" hidden="false" customHeight="false" outlineLevel="0" collapsed="false">
      <c r="A18" s="6" t="s">
        <v>143</v>
      </c>
      <c r="B18" s="6" t="s">
        <v>144</v>
      </c>
      <c r="C18" s="6" t="s">
        <v>1701</v>
      </c>
      <c r="D18" s="6" t="s">
        <v>1702</v>
      </c>
      <c r="E18" s="6" t="n">
        <v>2</v>
      </c>
      <c r="F18" s="6" t="s">
        <v>1991</v>
      </c>
      <c r="G18" s="6"/>
    </row>
    <row r="19" customFormat="false" ht="22.35" hidden="false" customHeight="false" outlineLevel="0" collapsed="false">
      <c r="A19" s="6" t="s">
        <v>152</v>
      </c>
      <c r="B19" s="6" t="s">
        <v>153</v>
      </c>
      <c r="C19" s="6" t="s">
        <v>320</v>
      </c>
      <c r="D19" s="6" t="s">
        <v>1674</v>
      </c>
      <c r="E19" s="6" t="n">
        <v>1</v>
      </c>
      <c r="F19" s="6" t="s">
        <v>1991</v>
      </c>
      <c r="G19" s="6"/>
    </row>
    <row r="20" customFormat="false" ht="22.35" hidden="false" customHeight="false" outlineLevel="0" collapsed="false">
      <c r="A20" s="6" t="s">
        <v>152</v>
      </c>
      <c r="B20" s="6" t="s">
        <v>153</v>
      </c>
      <c r="C20" s="6" t="s">
        <v>1747</v>
      </c>
      <c r="D20" s="6" t="s">
        <v>1748</v>
      </c>
      <c r="E20" s="6" t="n">
        <v>2</v>
      </c>
      <c r="F20" s="6" t="s">
        <v>1991</v>
      </c>
      <c r="G20" s="6"/>
    </row>
    <row r="21" customFormat="false" ht="22.35" hidden="false" customHeight="false" outlineLevel="0" collapsed="false">
      <c r="A21" s="6" t="s">
        <v>152</v>
      </c>
      <c r="B21" s="6" t="s">
        <v>153</v>
      </c>
      <c r="C21" s="6" t="s">
        <v>1908</v>
      </c>
      <c r="D21" s="6" t="s">
        <v>1909</v>
      </c>
      <c r="E21" s="6" t="n">
        <v>3</v>
      </c>
      <c r="F21" s="6" t="s">
        <v>1992</v>
      </c>
      <c r="G21" s="6"/>
    </row>
    <row r="22" customFormat="false" ht="15" hidden="false" customHeight="false" outlineLevel="0" collapsed="false">
      <c r="A22" s="6" t="s">
        <v>165</v>
      </c>
      <c r="B22" s="6" t="s">
        <v>166</v>
      </c>
      <c r="C22" s="6" t="s">
        <v>320</v>
      </c>
      <c r="D22" s="6" t="s">
        <v>1674</v>
      </c>
      <c r="E22" s="6" t="n">
        <v>1</v>
      </c>
      <c r="F22" s="6" t="s">
        <v>1991</v>
      </c>
      <c r="G22" s="6"/>
    </row>
    <row r="23" customFormat="false" ht="22.35" hidden="false" customHeight="false" outlineLevel="0" collapsed="false">
      <c r="A23" s="6" t="s">
        <v>165</v>
      </c>
      <c r="B23" s="6" t="s">
        <v>166</v>
      </c>
      <c r="C23" s="6" t="s">
        <v>1747</v>
      </c>
      <c r="D23" s="6" t="s">
        <v>1748</v>
      </c>
      <c r="E23" s="6" t="n">
        <v>2</v>
      </c>
      <c r="F23" s="6" t="s">
        <v>1991</v>
      </c>
      <c r="G23" s="6"/>
    </row>
    <row r="24" customFormat="false" ht="22.35" hidden="false" customHeight="false" outlineLevel="0" collapsed="false">
      <c r="A24" s="6" t="s">
        <v>165</v>
      </c>
      <c r="B24" s="6" t="s">
        <v>166</v>
      </c>
      <c r="C24" s="6" t="s">
        <v>1908</v>
      </c>
      <c r="D24" s="6" t="s">
        <v>1909</v>
      </c>
      <c r="E24" s="6" t="n">
        <v>3</v>
      </c>
      <c r="F24" s="6" t="s">
        <v>1992</v>
      </c>
      <c r="G24" s="6"/>
    </row>
    <row r="25" customFormat="false" ht="22.35" hidden="false" customHeight="false" outlineLevel="0" collapsed="false">
      <c r="A25" s="6" t="s">
        <v>171</v>
      </c>
      <c r="B25" s="6" t="s">
        <v>172</v>
      </c>
      <c r="C25" s="6" t="s">
        <v>1737</v>
      </c>
      <c r="D25" s="6" t="s">
        <v>1738</v>
      </c>
      <c r="E25" s="6" t="n">
        <v>1</v>
      </c>
      <c r="F25" s="6" t="s">
        <v>1991</v>
      </c>
      <c r="G25" s="6"/>
    </row>
    <row r="26" customFormat="false" ht="22.35" hidden="false" customHeight="false" outlineLevel="0" collapsed="false">
      <c r="A26" s="6" t="s">
        <v>171</v>
      </c>
      <c r="B26" s="6" t="s">
        <v>172</v>
      </c>
      <c r="C26" s="6" t="s">
        <v>574</v>
      </c>
      <c r="D26" s="6" t="s">
        <v>1743</v>
      </c>
      <c r="E26" s="6" t="n">
        <v>2</v>
      </c>
      <c r="F26" s="6" t="s">
        <v>1991</v>
      </c>
      <c r="G26" s="6"/>
    </row>
    <row r="27" customFormat="false" ht="22.35" hidden="false" customHeight="false" outlineLevel="0" collapsed="false">
      <c r="A27" s="6" t="s">
        <v>179</v>
      </c>
      <c r="B27" s="6" t="s">
        <v>180</v>
      </c>
      <c r="C27" s="6" t="s">
        <v>1747</v>
      </c>
      <c r="D27" s="6" t="s">
        <v>1748</v>
      </c>
      <c r="E27" s="6" t="n">
        <v>1</v>
      </c>
      <c r="F27" s="6" t="s">
        <v>1991</v>
      </c>
      <c r="G27" s="6"/>
    </row>
    <row r="28" customFormat="false" ht="15" hidden="false" customHeight="false" outlineLevel="0" collapsed="false">
      <c r="A28" s="6" t="s">
        <v>179</v>
      </c>
      <c r="B28" s="6" t="s">
        <v>180</v>
      </c>
      <c r="C28" s="6" t="s">
        <v>1753</v>
      </c>
      <c r="D28" s="6" t="s">
        <v>1754</v>
      </c>
      <c r="E28" s="6" t="n">
        <v>2</v>
      </c>
      <c r="F28" s="6" t="s">
        <v>1991</v>
      </c>
      <c r="G28" s="6"/>
    </row>
    <row r="29" customFormat="false" ht="22.35" hidden="false" customHeight="false" outlineLevel="0" collapsed="false">
      <c r="A29" s="6" t="s">
        <v>188</v>
      </c>
      <c r="B29" s="6" t="s">
        <v>189</v>
      </c>
      <c r="C29" s="6" t="s">
        <v>1778</v>
      </c>
      <c r="D29" s="6" t="s">
        <v>1779</v>
      </c>
      <c r="E29" s="6" t="n">
        <v>1</v>
      </c>
      <c r="F29" s="6" t="s">
        <v>1991</v>
      </c>
      <c r="G29" s="6"/>
    </row>
    <row r="30" customFormat="false" ht="22.35" hidden="false" customHeight="false" outlineLevel="0" collapsed="false">
      <c r="A30" s="6" t="s">
        <v>188</v>
      </c>
      <c r="B30" s="6" t="s">
        <v>189</v>
      </c>
      <c r="C30" s="6" t="s">
        <v>1908</v>
      </c>
      <c r="D30" s="6" t="s">
        <v>1909</v>
      </c>
      <c r="E30" s="6" t="n">
        <v>2</v>
      </c>
      <c r="F30" s="6" t="s">
        <v>1991</v>
      </c>
      <c r="G30" s="6"/>
    </row>
    <row r="31" customFormat="false" ht="15" hidden="false" customHeight="false" outlineLevel="0" collapsed="false">
      <c r="A31" s="6" t="s">
        <v>197</v>
      </c>
      <c r="B31" s="6" t="s">
        <v>198</v>
      </c>
      <c r="C31" s="6" t="s">
        <v>320</v>
      </c>
      <c r="D31" s="6" t="s">
        <v>1674</v>
      </c>
      <c r="E31" s="6" t="n">
        <v>1</v>
      </c>
      <c r="F31" s="6" t="s">
        <v>1991</v>
      </c>
      <c r="G31" s="6"/>
    </row>
    <row r="32" customFormat="false" ht="15" hidden="false" customHeight="false" outlineLevel="0" collapsed="false">
      <c r="A32" s="6" t="s">
        <v>197</v>
      </c>
      <c r="B32" s="6" t="s">
        <v>198</v>
      </c>
      <c r="C32" s="6" t="s">
        <v>237</v>
      </c>
      <c r="D32" s="6" t="s">
        <v>1758</v>
      </c>
      <c r="E32" s="6" t="n">
        <v>2</v>
      </c>
      <c r="F32" s="6" t="s">
        <v>1991</v>
      </c>
      <c r="G32" s="6"/>
    </row>
    <row r="33" customFormat="false" ht="15" hidden="false" customHeight="false" outlineLevel="0" collapsed="false">
      <c r="A33" s="6" t="s">
        <v>208</v>
      </c>
      <c r="B33" s="6" t="s">
        <v>209</v>
      </c>
      <c r="C33" s="6" t="s">
        <v>320</v>
      </c>
      <c r="D33" s="6" t="s">
        <v>1674</v>
      </c>
      <c r="E33" s="6" t="n">
        <v>1</v>
      </c>
      <c r="F33" s="6" t="s">
        <v>1991</v>
      </c>
      <c r="G33" s="6"/>
    </row>
    <row r="34" customFormat="false" ht="15" hidden="false" customHeight="false" outlineLevel="0" collapsed="false">
      <c r="A34" s="6" t="s">
        <v>208</v>
      </c>
      <c r="B34" s="6" t="s">
        <v>209</v>
      </c>
      <c r="C34" s="6" t="s">
        <v>1762</v>
      </c>
      <c r="D34" s="6" t="s">
        <v>1763</v>
      </c>
      <c r="E34" s="6" t="n">
        <v>2</v>
      </c>
      <c r="F34" s="6" t="s">
        <v>1991</v>
      </c>
      <c r="G34" s="6"/>
    </row>
    <row r="35" customFormat="false" ht="22.35" hidden="false" customHeight="false" outlineLevel="0" collapsed="false">
      <c r="A35" s="6" t="s">
        <v>217</v>
      </c>
      <c r="B35" s="6" t="s">
        <v>218</v>
      </c>
      <c r="C35" s="6" t="s">
        <v>1778</v>
      </c>
      <c r="D35" s="6" t="s">
        <v>1779</v>
      </c>
      <c r="E35" s="6" t="n">
        <v>1</v>
      </c>
      <c r="F35" s="6" t="s">
        <v>1991</v>
      </c>
      <c r="G35" s="6"/>
    </row>
    <row r="36" customFormat="false" ht="22.35" hidden="false" customHeight="false" outlineLevel="0" collapsed="false">
      <c r="A36" s="6" t="s">
        <v>217</v>
      </c>
      <c r="B36" s="6" t="s">
        <v>218</v>
      </c>
      <c r="C36" s="6" t="s">
        <v>1908</v>
      </c>
      <c r="D36" s="6" t="s">
        <v>1909</v>
      </c>
      <c r="E36" s="6" t="n">
        <v>2</v>
      </c>
      <c r="F36" s="6" t="s">
        <v>1991</v>
      </c>
      <c r="G36" s="6"/>
    </row>
    <row r="37" customFormat="false" ht="15" hidden="false" customHeight="false" outlineLevel="0" collapsed="false">
      <c r="A37" s="6" t="s">
        <v>224</v>
      </c>
      <c r="B37" s="6" t="s">
        <v>225</v>
      </c>
      <c r="C37" s="6" t="s">
        <v>1769</v>
      </c>
      <c r="D37" s="6" t="s">
        <v>1770</v>
      </c>
      <c r="E37" s="6" t="n">
        <v>1</v>
      </c>
      <c r="F37" s="6" t="s">
        <v>1991</v>
      </c>
      <c r="G37" s="6"/>
    </row>
    <row r="38" customFormat="false" ht="15" hidden="false" customHeight="false" outlineLevel="0" collapsed="false">
      <c r="A38" s="6" t="s">
        <v>224</v>
      </c>
      <c r="B38" s="6" t="s">
        <v>225</v>
      </c>
      <c r="C38" s="6" t="s">
        <v>1774</v>
      </c>
      <c r="D38" s="6" t="s">
        <v>1775</v>
      </c>
      <c r="E38" s="6" t="n">
        <v>2</v>
      </c>
      <c r="F38" s="6" t="s">
        <v>1991</v>
      </c>
      <c r="G38" s="6"/>
    </row>
    <row r="39" customFormat="false" ht="15" hidden="false" customHeight="false" outlineLevel="0" collapsed="false">
      <c r="A39" s="6" t="s">
        <v>232</v>
      </c>
      <c r="B39" s="6" t="s">
        <v>233</v>
      </c>
      <c r="C39" s="6" t="s">
        <v>237</v>
      </c>
      <c r="D39" s="6" t="s">
        <v>1758</v>
      </c>
      <c r="E39" s="6" t="n">
        <v>1</v>
      </c>
      <c r="F39" s="6" t="s">
        <v>1991</v>
      </c>
      <c r="G39" s="6"/>
    </row>
    <row r="40" customFormat="false" ht="15" hidden="false" customHeight="false" outlineLevel="0" collapsed="false">
      <c r="A40" s="6" t="s">
        <v>239</v>
      </c>
      <c r="B40" s="6" t="s">
        <v>240</v>
      </c>
      <c r="C40" s="6" t="s">
        <v>320</v>
      </c>
      <c r="D40" s="6" t="s">
        <v>1674</v>
      </c>
      <c r="E40" s="6" t="n">
        <v>1</v>
      </c>
      <c r="F40" s="6" t="s">
        <v>1991</v>
      </c>
      <c r="G40" s="6"/>
    </row>
    <row r="41" customFormat="false" ht="15" hidden="false" customHeight="false" outlineLevel="0" collapsed="false">
      <c r="A41" s="6" t="s">
        <v>239</v>
      </c>
      <c r="B41" s="6" t="s">
        <v>240</v>
      </c>
      <c r="C41" s="6" t="s">
        <v>1737</v>
      </c>
      <c r="D41" s="6" t="s">
        <v>1738</v>
      </c>
      <c r="E41" s="6" t="n">
        <v>2</v>
      </c>
      <c r="F41" s="6" t="s">
        <v>1991</v>
      </c>
      <c r="G41" s="6"/>
    </row>
    <row r="42" customFormat="false" ht="22.35" hidden="false" customHeight="false" outlineLevel="0" collapsed="false">
      <c r="A42" s="6" t="s">
        <v>239</v>
      </c>
      <c r="B42" s="6" t="s">
        <v>240</v>
      </c>
      <c r="C42" s="6" t="s">
        <v>263</v>
      </c>
      <c r="D42" s="6" t="s">
        <v>1833</v>
      </c>
      <c r="E42" s="6" t="n">
        <v>3</v>
      </c>
      <c r="F42" s="6" t="s">
        <v>1992</v>
      </c>
      <c r="G42" s="6"/>
    </row>
    <row r="43" customFormat="false" ht="22.35" hidden="false" customHeight="false" outlineLevel="0" collapsed="false">
      <c r="A43" s="6" t="s">
        <v>239</v>
      </c>
      <c r="B43" s="6" t="s">
        <v>240</v>
      </c>
      <c r="C43" s="6" t="s">
        <v>1908</v>
      </c>
      <c r="D43" s="6" t="s">
        <v>1909</v>
      </c>
      <c r="E43" s="6" t="n">
        <v>4</v>
      </c>
      <c r="F43" s="6" t="s">
        <v>1992</v>
      </c>
      <c r="G43" s="6"/>
    </row>
    <row r="44" customFormat="false" ht="15" hidden="false" customHeight="false" outlineLevel="0" collapsed="false">
      <c r="A44" s="6" t="s">
        <v>250</v>
      </c>
      <c r="B44" s="6" t="s">
        <v>251</v>
      </c>
      <c r="C44" s="6" t="s">
        <v>320</v>
      </c>
      <c r="D44" s="6" t="s">
        <v>1674</v>
      </c>
      <c r="E44" s="6" t="n">
        <v>1</v>
      </c>
      <c r="F44" s="6" t="s">
        <v>1991</v>
      </c>
      <c r="G44" s="6"/>
    </row>
    <row r="45" customFormat="false" ht="15" hidden="false" customHeight="false" outlineLevel="0" collapsed="false">
      <c r="A45" s="6" t="s">
        <v>250</v>
      </c>
      <c r="B45" s="6" t="s">
        <v>251</v>
      </c>
      <c r="C45" s="6" t="s">
        <v>1737</v>
      </c>
      <c r="D45" s="6" t="s">
        <v>1738</v>
      </c>
      <c r="E45" s="6" t="n">
        <v>2</v>
      </c>
      <c r="F45" s="6" t="s">
        <v>1991</v>
      </c>
      <c r="G45" s="6"/>
    </row>
    <row r="46" customFormat="false" ht="22.35" hidden="false" customHeight="false" outlineLevel="0" collapsed="false">
      <c r="A46" s="6" t="s">
        <v>250</v>
      </c>
      <c r="B46" s="6" t="s">
        <v>251</v>
      </c>
      <c r="C46" s="6" t="s">
        <v>263</v>
      </c>
      <c r="D46" s="6" t="s">
        <v>1833</v>
      </c>
      <c r="E46" s="6" t="n">
        <v>3</v>
      </c>
      <c r="F46" s="6" t="s">
        <v>1992</v>
      </c>
      <c r="G46" s="6"/>
    </row>
    <row r="47" customFormat="false" ht="22.35" hidden="false" customHeight="false" outlineLevel="0" collapsed="false">
      <c r="A47" s="6" t="s">
        <v>257</v>
      </c>
      <c r="B47" s="6" t="s">
        <v>258</v>
      </c>
      <c r="C47" s="6" t="s">
        <v>263</v>
      </c>
      <c r="D47" s="6" t="s">
        <v>1833</v>
      </c>
      <c r="E47" s="6" t="n">
        <v>1</v>
      </c>
      <c r="F47" s="6" t="s">
        <v>1991</v>
      </c>
      <c r="G47" s="6"/>
    </row>
    <row r="48" customFormat="false" ht="22.35" hidden="false" customHeight="false" outlineLevel="0" collapsed="false">
      <c r="A48" s="6" t="s">
        <v>265</v>
      </c>
      <c r="B48" s="6" t="s">
        <v>266</v>
      </c>
      <c r="C48" s="6" t="s">
        <v>263</v>
      </c>
      <c r="D48" s="6" t="s">
        <v>1833</v>
      </c>
      <c r="E48" s="6" t="n">
        <v>1</v>
      </c>
      <c r="F48" s="6" t="s">
        <v>1991</v>
      </c>
      <c r="G48" s="6"/>
    </row>
    <row r="49" customFormat="false" ht="22.35" hidden="false" customHeight="false" outlineLevel="0" collapsed="false">
      <c r="A49" s="6" t="s">
        <v>265</v>
      </c>
      <c r="B49" s="6" t="s">
        <v>266</v>
      </c>
      <c r="C49" s="6" t="s">
        <v>1908</v>
      </c>
      <c r="D49" s="6" t="s">
        <v>1909</v>
      </c>
      <c r="E49" s="6" t="n">
        <v>2</v>
      </c>
      <c r="F49" s="6" t="s">
        <v>1991</v>
      </c>
      <c r="G49" s="6"/>
    </row>
    <row r="50" customFormat="false" ht="22.35" hidden="false" customHeight="false" outlineLevel="0" collapsed="false">
      <c r="A50" s="6" t="s">
        <v>273</v>
      </c>
      <c r="B50" s="6" t="s">
        <v>274</v>
      </c>
      <c r="C50" s="6" t="s">
        <v>1737</v>
      </c>
      <c r="D50" s="6" t="s">
        <v>1738</v>
      </c>
      <c r="E50" s="6" t="n">
        <v>1</v>
      </c>
      <c r="F50" s="6" t="s">
        <v>1991</v>
      </c>
      <c r="G50" s="6"/>
    </row>
    <row r="51" customFormat="false" ht="22.35" hidden="false" customHeight="false" outlineLevel="0" collapsed="false">
      <c r="A51" s="6" t="s">
        <v>273</v>
      </c>
      <c r="B51" s="6" t="s">
        <v>274</v>
      </c>
      <c r="C51" s="6" t="s">
        <v>1769</v>
      </c>
      <c r="D51" s="6" t="s">
        <v>1770</v>
      </c>
      <c r="E51" s="6" t="n">
        <v>2</v>
      </c>
      <c r="F51" s="6" t="s">
        <v>1991</v>
      </c>
      <c r="G51" s="6"/>
    </row>
    <row r="52" customFormat="false" ht="22.35" hidden="false" customHeight="false" outlineLevel="0" collapsed="false">
      <c r="A52" s="6" t="s">
        <v>273</v>
      </c>
      <c r="B52" s="6" t="s">
        <v>274</v>
      </c>
      <c r="C52" s="6" t="s">
        <v>1774</v>
      </c>
      <c r="D52" s="6" t="s">
        <v>1775</v>
      </c>
      <c r="E52" s="6" t="n">
        <v>3</v>
      </c>
      <c r="F52" s="6" t="s">
        <v>1992</v>
      </c>
      <c r="G52" s="6"/>
    </row>
    <row r="53" customFormat="false" ht="22.35" hidden="false" customHeight="false" outlineLevel="0" collapsed="false">
      <c r="A53" s="6" t="s">
        <v>273</v>
      </c>
      <c r="B53" s="6" t="s">
        <v>274</v>
      </c>
      <c r="C53" s="6" t="s">
        <v>298</v>
      </c>
      <c r="D53" s="6" t="s">
        <v>1724</v>
      </c>
      <c r="E53" s="6" t="n">
        <v>4</v>
      </c>
      <c r="F53" s="6" t="s">
        <v>1992</v>
      </c>
      <c r="G53" s="6"/>
    </row>
    <row r="54" customFormat="false" ht="15" hidden="false" customHeight="false" outlineLevel="0" collapsed="false">
      <c r="A54" s="6" t="s">
        <v>284</v>
      </c>
      <c r="B54" s="6" t="s">
        <v>285</v>
      </c>
      <c r="C54" s="6" t="s">
        <v>1737</v>
      </c>
      <c r="D54" s="6" t="s">
        <v>1738</v>
      </c>
      <c r="E54" s="6" t="n">
        <v>1</v>
      </c>
      <c r="F54" s="6" t="s">
        <v>1991</v>
      </c>
      <c r="G54" s="6"/>
    </row>
    <row r="55" customFormat="false" ht="15" hidden="false" customHeight="false" outlineLevel="0" collapsed="false">
      <c r="A55" s="6" t="s">
        <v>284</v>
      </c>
      <c r="B55" s="6" t="s">
        <v>285</v>
      </c>
      <c r="C55" s="6" t="s">
        <v>1769</v>
      </c>
      <c r="D55" s="6" t="s">
        <v>1770</v>
      </c>
      <c r="E55" s="6" t="n">
        <v>2</v>
      </c>
      <c r="F55" s="6" t="s">
        <v>1991</v>
      </c>
      <c r="G55" s="6"/>
    </row>
    <row r="56" customFormat="false" ht="22.35" hidden="false" customHeight="false" outlineLevel="0" collapsed="false">
      <c r="A56" s="6" t="s">
        <v>284</v>
      </c>
      <c r="B56" s="6" t="s">
        <v>285</v>
      </c>
      <c r="C56" s="6" t="s">
        <v>1940</v>
      </c>
      <c r="D56" s="6" t="s">
        <v>1941</v>
      </c>
      <c r="E56" s="6" t="n">
        <v>3</v>
      </c>
      <c r="F56" s="6" t="s">
        <v>1992</v>
      </c>
      <c r="G56" s="6"/>
    </row>
    <row r="57" customFormat="false" ht="15" hidden="false" customHeight="false" outlineLevel="0" collapsed="false">
      <c r="A57" s="6" t="s">
        <v>293</v>
      </c>
      <c r="B57" s="6" t="s">
        <v>294</v>
      </c>
      <c r="C57" s="6" t="s">
        <v>298</v>
      </c>
      <c r="D57" s="6" t="s">
        <v>1724</v>
      </c>
      <c r="E57" s="6" t="n">
        <v>1</v>
      </c>
      <c r="F57" s="6" t="s">
        <v>1991</v>
      </c>
      <c r="G57" s="6"/>
    </row>
    <row r="58" customFormat="false" ht="15" hidden="false" customHeight="false" outlineLevel="0" collapsed="false">
      <c r="A58" s="6" t="s">
        <v>300</v>
      </c>
      <c r="B58" s="6" t="s">
        <v>301</v>
      </c>
      <c r="C58" s="6" t="s">
        <v>320</v>
      </c>
      <c r="D58" s="6" t="s">
        <v>1674</v>
      </c>
      <c r="E58" s="6" t="n">
        <v>1</v>
      </c>
      <c r="F58" s="6" t="s">
        <v>1991</v>
      </c>
      <c r="G58" s="6"/>
    </row>
    <row r="59" customFormat="false" ht="15" hidden="false" customHeight="false" outlineLevel="0" collapsed="false">
      <c r="A59" s="6" t="s">
        <v>300</v>
      </c>
      <c r="B59" s="6" t="s">
        <v>301</v>
      </c>
      <c r="C59" s="6" t="s">
        <v>1701</v>
      </c>
      <c r="D59" s="6" t="s">
        <v>1702</v>
      </c>
      <c r="E59" s="6" t="n">
        <v>2</v>
      </c>
      <c r="F59" s="6" t="s">
        <v>1991</v>
      </c>
      <c r="G59" s="6"/>
    </row>
    <row r="60" customFormat="false" ht="22.35" hidden="false" customHeight="false" outlineLevel="0" collapsed="false">
      <c r="A60" s="6" t="s">
        <v>300</v>
      </c>
      <c r="B60" s="6" t="s">
        <v>301</v>
      </c>
      <c r="C60" s="6" t="s">
        <v>1717</v>
      </c>
      <c r="D60" s="6" t="s">
        <v>1718</v>
      </c>
      <c r="E60" s="6" t="n">
        <v>3</v>
      </c>
      <c r="F60" s="6" t="s">
        <v>1992</v>
      </c>
      <c r="G60" s="6"/>
    </row>
    <row r="61" customFormat="false" ht="15" hidden="false" customHeight="false" outlineLevel="0" collapsed="false">
      <c r="A61" s="6" t="s">
        <v>312</v>
      </c>
      <c r="B61" s="6" t="s">
        <v>313</v>
      </c>
      <c r="C61" s="6" t="s">
        <v>320</v>
      </c>
      <c r="D61" s="6" t="s">
        <v>1674</v>
      </c>
      <c r="E61" s="6" t="n">
        <v>1</v>
      </c>
      <c r="F61" s="6" t="s">
        <v>1991</v>
      </c>
      <c r="G61" s="6"/>
    </row>
    <row r="62" customFormat="false" ht="15" hidden="false" customHeight="false" outlineLevel="0" collapsed="false">
      <c r="A62" s="6" t="s">
        <v>322</v>
      </c>
      <c r="B62" s="6" t="s">
        <v>323</v>
      </c>
      <c r="C62" s="6" t="s">
        <v>320</v>
      </c>
      <c r="D62" s="6" t="s">
        <v>1674</v>
      </c>
      <c r="E62" s="6" t="n">
        <v>1</v>
      </c>
      <c r="F62" s="6" t="s">
        <v>1991</v>
      </c>
      <c r="G62" s="6"/>
    </row>
    <row r="63" customFormat="false" ht="15" hidden="false" customHeight="false" outlineLevel="0" collapsed="false">
      <c r="A63" s="6" t="s">
        <v>322</v>
      </c>
      <c r="B63" s="6" t="s">
        <v>323</v>
      </c>
      <c r="C63" s="6" t="s">
        <v>376</v>
      </c>
      <c r="D63" s="6" t="s">
        <v>1848</v>
      </c>
      <c r="E63" s="6" t="n">
        <v>2</v>
      </c>
      <c r="F63" s="6" t="s">
        <v>1991</v>
      </c>
      <c r="G63" s="6"/>
    </row>
    <row r="64" customFormat="false" ht="15" hidden="false" customHeight="false" outlineLevel="0" collapsed="false">
      <c r="A64" s="6" t="s">
        <v>333</v>
      </c>
      <c r="B64" s="6" t="s">
        <v>334</v>
      </c>
      <c r="C64" s="6" t="s">
        <v>320</v>
      </c>
      <c r="D64" s="6" t="s">
        <v>1674</v>
      </c>
      <c r="E64" s="6" t="n">
        <v>1</v>
      </c>
      <c r="F64" s="6" t="s">
        <v>1991</v>
      </c>
      <c r="G64" s="6"/>
    </row>
    <row r="65" customFormat="false" ht="22.35" hidden="false" customHeight="false" outlineLevel="0" collapsed="false">
      <c r="A65" s="6" t="s">
        <v>333</v>
      </c>
      <c r="B65" s="6" t="s">
        <v>334</v>
      </c>
      <c r="C65" s="6" t="s">
        <v>263</v>
      </c>
      <c r="D65" s="6" t="s">
        <v>1833</v>
      </c>
      <c r="E65" s="6" t="n">
        <v>2</v>
      </c>
      <c r="F65" s="6" t="s">
        <v>1991</v>
      </c>
      <c r="G65" s="6"/>
    </row>
    <row r="66" customFormat="false" ht="15" hidden="false" customHeight="false" outlineLevel="0" collapsed="false">
      <c r="A66" s="6" t="s">
        <v>342</v>
      </c>
      <c r="B66" s="6" t="s">
        <v>343</v>
      </c>
      <c r="C66" s="6" t="s">
        <v>320</v>
      </c>
      <c r="D66" s="6" t="s">
        <v>1674</v>
      </c>
      <c r="E66" s="6" t="n">
        <v>1</v>
      </c>
      <c r="F66" s="6" t="s">
        <v>1991</v>
      </c>
      <c r="G66" s="6"/>
    </row>
    <row r="67" customFormat="false" ht="15" hidden="false" customHeight="false" outlineLevel="0" collapsed="false">
      <c r="A67" s="6" t="s">
        <v>351</v>
      </c>
      <c r="B67" s="6" t="s">
        <v>352</v>
      </c>
      <c r="C67" s="6" t="s">
        <v>320</v>
      </c>
      <c r="D67" s="6" t="s">
        <v>1674</v>
      </c>
      <c r="E67" s="6" t="n">
        <v>1</v>
      </c>
      <c r="F67" s="6" t="s">
        <v>1991</v>
      </c>
      <c r="G67" s="6"/>
    </row>
    <row r="68" customFormat="false" ht="15" hidden="false" customHeight="false" outlineLevel="0" collapsed="false">
      <c r="A68" s="6" t="s">
        <v>359</v>
      </c>
      <c r="B68" s="6" t="s">
        <v>360</v>
      </c>
      <c r="C68" s="6" t="s">
        <v>376</v>
      </c>
      <c r="D68" s="6" t="s">
        <v>1848</v>
      </c>
      <c r="E68" s="6" t="n">
        <v>1</v>
      </c>
      <c r="F68" s="6" t="s">
        <v>1991</v>
      </c>
      <c r="G68" s="6"/>
    </row>
    <row r="69" customFormat="false" ht="15" hidden="false" customHeight="false" outlineLevel="0" collapsed="false">
      <c r="A69" s="6" t="s">
        <v>359</v>
      </c>
      <c r="B69" s="6" t="s">
        <v>360</v>
      </c>
      <c r="C69" s="6" t="s">
        <v>1859</v>
      </c>
      <c r="D69" s="6" t="s">
        <v>1860</v>
      </c>
      <c r="E69" s="6" t="n">
        <v>2</v>
      </c>
      <c r="F69" s="6" t="s">
        <v>1991</v>
      </c>
      <c r="G69" s="6"/>
    </row>
    <row r="70" customFormat="false" ht="15" hidden="false" customHeight="false" outlineLevel="0" collapsed="false">
      <c r="A70" s="6" t="s">
        <v>370</v>
      </c>
      <c r="B70" s="6" t="s">
        <v>371</v>
      </c>
      <c r="C70" s="6" t="s">
        <v>376</v>
      </c>
      <c r="D70" s="6" t="s">
        <v>1848</v>
      </c>
      <c r="E70" s="6" t="n">
        <v>1</v>
      </c>
      <c r="F70" s="6" t="s">
        <v>1991</v>
      </c>
      <c r="G70" s="6"/>
    </row>
    <row r="71" customFormat="false" ht="15" hidden="false" customHeight="false" outlineLevel="0" collapsed="false">
      <c r="A71" s="6" t="s">
        <v>378</v>
      </c>
      <c r="B71" s="6" t="s">
        <v>379</v>
      </c>
      <c r="C71" s="6" t="s">
        <v>475</v>
      </c>
      <c r="D71" s="6" t="s">
        <v>1712</v>
      </c>
      <c r="E71" s="6" t="n">
        <v>1</v>
      </c>
      <c r="F71" s="6" t="s">
        <v>1991</v>
      </c>
      <c r="G71" s="6"/>
    </row>
    <row r="72" customFormat="false" ht="15" hidden="false" customHeight="false" outlineLevel="0" collapsed="false">
      <c r="A72" s="6" t="s">
        <v>378</v>
      </c>
      <c r="B72" s="6" t="s">
        <v>379</v>
      </c>
      <c r="C72" s="6" t="s">
        <v>537</v>
      </c>
      <c r="D72" s="6" t="s">
        <v>1864</v>
      </c>
      <c r="E72" s="6" t="n">
        <v>2</v>
      </c>
      <c r="F72" s="6" t="s">
        <v>1991</v>
      </c>
      <c r="G72" s="6"/>
    </row>
    <row r="73" customFormat="false" ht="15" hidden="false" customHeight="false" outlineLevel="0" collapsed="false">
      <c r="A73" s="6" t="s">
        <v>389</v>
      </c>
      <c r="B73" s="6" t="s">
        <v>390</v>
      </c>
      <c r="C73" s="6" t="s">
        <v>320</v>
      </c>
      <c r="D73" s="6" t="s">
        <v>1674</v>
      </c>
      <c r="E73" s="6" t="n">
        <v>1</v>
      </c>
      <c r="F73" s="6" t="s">
        <v>1991</v>
      </c>
      <c r="G73" s="6"/>
    </row>
    <row r="74" customFormat="false" ht="15" hidden="false" customHeight="false" outlineLevel="0" collapsed="false">
      <c r="A74" s="6" t="s">
        <v>399</v>
      </c>
      <c r="B74" s="6" t="s">
        <v>400</v>
      </c>
      <c r="C74" s="6" t="s">
        <v>320</v>
      </c>
      <c r="D74" s="6" t="s">
        <v>1674</v>
      </c>
      <c r="E74" s="6" t="n">
        <v>1</v>
      </c>
      <c r="F74" s="6" t="s">
        <v>1991</v>
      </c>
      <c r="G74" s="6"/>
    </row>
    <row r="75" customFormat="false" ht="15" hidden="false" customHeight="false" outlineLevel="0" collapsed="false">
      <c r="A75" s="6" t="s">
        <v>399</v>
      </c>
      <c r="B75" s="6" t="s">
        <v>400</v>
      </c>
      <c r="C75" s="6" t="s">
        <v>1737</v>
      </c>
      <c r="D75" s="6" t="s">
        <v>1738</v>
      </c>
      <c r="E75" s="6" t="n">
        <v>2</v>
      </c>
      <c r="F75" s="6" t="s">
        <v>1991</v>
      </c>
      <c r="G75" s="6"/>
    </row>
    <row r="76" customFormat="false" ht="15" hidden="false" customHeight="false" outlineLevel="0" collapsed="false">
      <c r="A76" s="6" t="s">
        <v>409</v>
      </c>
      <c r="B76" s="6" t="s">
        <v>410</v>
      </c>
      <c r="C76" s="6" t="s">
        <v>1790</v>
      </c>
      <c r="D76" s="6" t="s">
        <v>1791</v>
      </c>
      <c r="E76" s="6" t="n">
        <v>1</v>
      </c>
      <c r="F76" s="6" t="s">
        <v>1991</v>
      </c>
      <c r="G76" s="6"/>
    </row>
    <row r="77" customFormat="false" ht="15" hidden="false" customHeight="false" outlineLevel="0" collapsed="false">
      <c r="A77" s="6" t="s">
        <v>409</v>
      </c>
      <c r="B77" s="6" t="s">
        <v>410</v>
      </c>
      <c r="C77" s="6" t="s">
        <v>483</v>
      </c>
      <c r="D77" s="6" t="s">
        <v>1805</v>
      </c>
      <c r="E77" s="6" t="n">
        <v>2</v>
      </c>
      <c r="F77" s="6" t="s">
        <v>1991</v>
      </c>
      <c r="G77" s="6"/>
    </row>
    <row r="78" customFormat="false" ht="15" hidden="false" customHeight="false" outlineLevel="0" collapsed="false">
      <c r="A78" s="6" t="s">
        <v>422</v>
      </c>
      <c r="B78" s="6" t="s">
        <v>423</v>
      </c>
      <c r="C78" s="6" t="s">
        <v>1795</v>
      </c>
      <c r="D78" s="6" t="s">
        <v>1796</v>
      </c>
      <c r="E78" s="6" t="n">
        <v>1</v>
      </c>
      <c r="F78" s="6" t="s">
        <v>1991</v>
      </c>
      <c r="G78" s="6"/>
    </row>
    <row r="79" customFormat="false" ht="15" hidden="false" customHeight="false" outlineLevel="0" collapsed="false">
      <c r="A79" s="6" t="s">
        <v>422</v>
      </c>
      <c r="B79" s="6" t="s">
        <v>423</v>
      </c>
      <c r="C79" s="6" t="s">
        <v>483</v>
      </c>
      <c r="D79" s="6" t="s">
        <v>1805</v>
      </c>
      <c r="E79" s="6" t="n">
        <v>2</v>
      </c>
      <c r="F79" s="6" t="s">
        <v>1991</v>
      </c>
      <c r="G79" s="6"/>
    </row>
    <row r="80" customFormat="false" ht="15" hidden="false" customHeight="false" outlineLevel="0" collapsed="false">
      <c r="A80" s="6" t="s">
        <v>427</v>
      </c>
      <c r="B80" s="6" t="s">
        <v>428</v>
      </c>
      <c r="C80" s="6" t="s">
        <v>1800</v>
      </c>
      <c r="D80" s="6" t="s">
        <v>1801</v>
      </c>
      <c r="E80" s="6" t="n">
        <v>1</v>
      </c>
      <c r="F80" s="6" t="s">
        <v>1991</v>
      </c>
      <c r="G80" s="6"/>
    </row>
    <row r="81" customFormat="false" ht="15" hidden="false" customHeight="false" outlineLevel="0" collapsed="false">
      <c r="A81" s="6" t="s">
        <v>427</v>
      </c>
      <c r="B81" s="6" t="s">
        <v>428</v>
      </c>
      <c r="C81" s="6" t="s">
        <v>483</v>
      </c>
      <c r="D81" s="6" t="s">
        <v>1805</v>
      </c>
      <c r="E81" s="6" t="n">
        <v>2</v>
      </c>
      <c r="F81" s="6" t="s">
        <v>1991</v>
      </c>
      <c r="G81" s="6"/>
    </row>
    <row r="82" customFormat="false" ht="15" hidden="false" customHeight="false" outlineLevel="0" collapsed="false">
      <c r="A82" s="6" t="s">
        <v>432</v>
      </c>
      <c r="B82" s="6" t="s">
        <v>433</v>
      </c>
      <c r="C82" s="6" t="s">
        <v>1790</v>
      </c>
      <c r="D82" s="6" t="s">
        <v>1791</v>
      </c>
      <c r="E82" s="6" t="n">
        <v>1</v>
      </c>
      <c r="F82" s="6" t="s">
        <v>1991</v>
      </c>
      <c r="G82" s="6"/>
    </row>
    <row r="83" customFormat="false" ht="15" hidden="false" customHeight="false" outlineLevel="0" collapsed="false">
      <c r="A83" s="6" t="s">
        <v>432</v>
      </c>
      <c r="B83" s="6" t="s">
        <v>433</v>
      </c>
      <c r="C83" s="6" t="s">
        <v>483</v>
      </c>
      <c r="D83" s="6" t="s">
        <v>1805</v>
      </c>
      <c r="E83" s="6" t="n">
        <v>2</v>
      </c>
      <c r="F83" s="6" t="s">
        <v>1991</v>
      </c>
      <c r="G83" s="6"/>
    </row>
    <row r="84" customFormat="false" ht="15" hidden="false" customHeight="false" outlineLevel="0" collapsed="false">
      <c r="A84" s="6" t="s">
        <v>437</v>
      </c>
      <c r="B84" s="6" t="s">
        <v>438</v>
      </c>
      <c r="C84" s="6" t="s">
        <v>1790</v>
      </c>
      <c r="D84" s="6" t="s">
        <v>1791</v>
      </c>
      <c r="E84" s="6" t="n">
        <v>1</v>
      </c>
      <c r="F84" s="6" t="s">
        <v>1991</v>
      </c>
      <c r="G84" s="6"/>
    </row>
    <row r="85" customFormat="false" ht="15" hidden="false" customHeight="false" outlineLevel="0" collapsed="false">
      <c r="A85" s="6" t="s">
        <v>437</v>
      </c>
      <c r="B85" s="6" t="s">
        <v>438</v>
      </c>
      <c r="C85" s="6" t="s">
        <v>483</v>
      </c>
      <c r="D85" s="6" t="s">
        <v>1805</v>
      </c>
      <c r="E85" s="6" t="n">
        <v>2</v>
      </c>
      <c r="F85" s="6" t="s">
        <v>1991</v>
      </c>
      <c r="G85" s="6"/>
    </row>
    <row r="86" customFormat="false" ht="15" hidden="false" customHeight="false" outlineLevel="0" collapsed="false">
      <c r="A86" s="6" t="s">
        <v>442</v>
      </c>
      <c r="B86" s="6" t="s">
        <v>443</v>
      </c>
      <c r="C86" s="6" t="s">
        <v>1790</v>
      </c>
      <c r="D86" s="6" t="s">
        <v>1791</v>
      </c>
      <c r="E86" s="6" t="n">
        <v>1</v>
      </c>
      <c r="F86" s="6" t="s">
        <v>1991</v>
      </c>
      <c r="G86" s="6"/>
    </row>
    <row r="87" customFormat="false" ht="15" hidden="false" customHeight="false" outlineLevel="0" collapsed="false">
      <c r="A87" s="6" t="s">
        <v>442</v>
      </c>
      <c r="B87" s="6" t="s">
        <v>443</v>
      </c>
      <c r="C87" s="6" t="s">
        <v>483</v>
      </c>
      <c r="D87" s="6" t="s">
        <v>1805</v>
      </c>
      <c r="E87" s="6" t="n">
        <v>2</v>
      </c>
      <c r="F87" s="6" t="s">
        <v>1991</v>
      </c>
      <c r="G87" s="6"/>
    </row>
    <row r="88" customFormat="false" ht="22.35" hidden="false" customHeight="false" outlineLevel="0" collapsed="false">
      <c r="A88" s="6" t="s">
        <v>442</v>
      </c>
      <c r="B88" s="6" t="s">
        <v>443</v>
      </c>
      <c r="C88" s="6" t="s">
        <v>670</v>
      </c>
      <c r="D88" s="6" t="s">
        <v>1811</v>
      </c>
      <c r="E88" s="6" t="n">
        <v>3</v>
      </c>
      <c r="F88" s="6" t="s">
        <v>1992</v>
      </c>
      <c r="G88" s="6"/>
    </row>
    <row r="89" customFormat="false" ht="15" hidden="false" customHeight="false" outlineLevel="0" collapsed="false">
      <c r="A89" s="6" t="s">
        <v>453</v>
      </c>
      <c r="B89" s="6" t="s">
        <v>454</v>
      </c>
      <c r="C89" s="6" t="s">
        <v>483</v>
      </c>
      <c r="D89" s="6" t="s">
        <v>1805</v>
      </c>
      <c r="E89" s="6" t="n">
        <v>1</v>
      </c>
      <c r="F89" s="6" t="s">
        <v>1991</v>
      </c>
      <c r="G89" s="6"/>
    </row>
    <row r="90" customFormat="false" ht="15" hidden="false" customHeight="false" outlineLevel="0" collapsed="false">
      <c r="A90" s="6" t="s">
        <v>453</v>
      </c>
      <c r="B90" s="6" t="s">
        <v>454</v>
      </c>
      <c r="C90" s="6" t="s">
        <v>670</v>
      </c>
      <c r="D90" s="6" t="s">
        <v>1811</v>
      </c>
      <c r="E90" s="6" t="n">
        <v>2</v>
      </c>
      <c r="F90" s="6" t="s">
        <v>1991</v>
      </c>
      <c r="G90" s="6"/>
    </row>
    <row r="91" customFormat="false" ht="15" hidden="false" customHeight="false" outlineLevel="0" collapsed="false">
      <c r="A91" s="6" t="s">
        <v>461</v>
      </c>
      <c r="B91" s="6" t="s">
        <v>462</v>
      </c>
      <c r="C91" s="6" t="s">
        <v>1790</v>
      </c>
      <c r="D91" s="6" t="s">
        <v>1791</v>
      </c>
      <c r="E91" s="6" t="n">
        <v>1</v>
      </c>
      <c r="F91" s="6" t="s">
        <v>1991</v>
      </c>
      <c r="G91" s="6"/>
    </row>
    <row r="92" customFormat="false" ht="15" hidden="false" customHeight="false" outlineLevel="0" collapsed="false">
      <c r="A92" s="6" t="s">
        <v>461</v>
      </c>
      <c r="B92" s="6" t="s">
        <v>462</v>
      </c>
      <c r="C92" s="6" t="s">
        <v>483</v>
      </c>
      <c r="D92" s="6" t="s">
        <v>1805</v>
      </c>
      <c r="E92" s="6" t="n">
        <v>2</v>
      </c>
      <c r="F92" s="6" t="s">
        <v>1991</v>
      </c>
      <c r="G92" s="6"/>
    </row>
    <row r="93" customFormat="false" ht="15" hidden="false" customHeight="false" outlineLevel="0" collapsed="false">
      <c r="A93" s="6" t="s">
        <v>468</v>
      </c>
      <c r="B93" s="6" t="s">
        <v>469</v>
      </c>
      <c r="C93" s="6" t="s">
        <v>475</v>
      </c>
      <c r="D93" s="6" t="s">
        <v>1712</v>
      </c>
      <c r="E93" s="6" t="n">
        <v>1</v>
      </c>
      <c r="F93" s="6" t="s">
        <v>1991</v>
      </c>
      <c r="G93" s="6"/>
    </row>
    <row r="94" customFormat="false" ht="15" hidden="false" customHeight="false" outlineLevel="0" collapsed="false">
      <c r="A94" s="6" t="s">
        <v>477</v>
      </c>
      <c r="B94" s="6" t="s">
        <v>478</v>
      </c>
      <c r="C94" s="6" t="s">
        <v>483</v>
      </c>
      <c r="D94" s="6" t="s">
        <v>1805</v>
      </c>
      <c r="E94" s="6" t="n">
        <v>1</v>
      </c>
      <c r="F94" s="6" t="s">
        <v>1991</v>
      </c>
      <c r="G94" s="6"/>
    </row>
    <row r="95" customFormat="false" ht="22.35" hidden="false" customHeight="false" outlineLevel="0" collapsed="false">
      <c r="A95" s="6" t="s">
        <v>485</v>
      </c>
      <c r="B95" s="6" t="s">
        <v>486</v>
      </c>
      <c r="C95" s="6" t="s">
        <v>1816</v>
      </c>
      <c r="D95" s="6" t="s">
        <v>1817</v>
      </c>
      <c r="E95" s="6" t="n">
        <v>1</v>
      </c>
      <c r="F95" s="6" t="s">
        <v>1991</v>
      </c>
      <c r="G95" s="6"/>
    </row>
    <row r="96" customFormat="false" ht="22.35" hidden="false" customHeight="false" outlineLevel="0" collapsed="false">
      <c r="A96" s="6" t="s">
        <v>485</v>
      </c>
      <c r="B96" s="6" t="s">
        <v>486</v>
      </c>
      <c r="C96" s="6" t="s">
        <v>1881</v>
      </c>
      <c r="D96" s="6" t="s">
        <v>1882</v>
      </c>
      <c r="E96" s="6" t="n">
        <v>2</v>
      </c>
      <c r="F96" s="6" t="s">
        <v>1991</v>
      </c>
      <c r="G96" s="6"/>
    </row>
    <row r="97" customFormat="false" ht="15" hidden="false" customHeight="false" outlineLevel="0" collapsed="false">
      <c r="A97" s="6" t="s">
        <v>497</v>
      </c>
      <c r="B97" s="6" t="s">
        <v>498</v>
      </c>
      <c r="C97" s="6" t="s">
        <v>505</v>
      </c>
      <c r="D97" s="6" t="s">
        <v>1887</v>
      </c>
      <c r="E97" s="6" t="n">
        <v>1</v>
      </c>
      <c r="F97" s="6" t="s">
        <v>1991</v>
      </c>
      <c r="G97" s="6"/>
    </row>
    <row r="98" customFormat="false" ht="22.35" hidden="false" customHeight="false" outlineLevel="0" collapsed="false">
      <c r="A98" s="6" t="s">
        <v>507</v>
      </c>
      <c r="B98" s="6" t="s">
        <v>508</v>
      </c>
      <c r="C98" s="6" t="s">
        <v>537</v>
      </c>
      <c r="D98" s="6" t="s">
        <v>1864</v>
      </c>
      <c r="E98" s="6" t="n">
        <v>1</v>
      </c>
      <c r="F98" s="6" t="s">
        <v>1991</v>
      </c>
      <c r="G98" s="6"/>
    </row>
    <row r="99" customFormat="false" ht="22.35" hidden="false" customHeight="false" outlineLevel="0" collapsed="false">
      <c r="A99" s="6" t="s">
        <v>507</v>
      </c>
      <c r="B99" s="6" t="s">
        <v>508</v>
      </c>
      <c r="C99" s="6" t="s">
        <v>1869</v>
      </c>
      <c r="D99" s="6" t="s">
        <v>1870</v>
      </c>
      <c r="E99" s="6" t="n">
        <v>2</v>
      </c>
      <c r="F99" s="6" t="s">
        <v>1991</v>
      </c>
      <c r="G99" s="6"/>
    </row>
    <row r="100" customFormat="false" ht="15" hidden="false" customHeight="false" outlineLevel="0" collapsed="false">
      <c r="A100" s="6" t="s">
        <v>520</v>
      </c>
      <c r="B100" s="6" t="s">
        <v>521</v>
      </c>
      <c r="C100" s="6" t="s">
        <v>537</v>
      </c>
      <c r="D100" s="6" t="s">
        <v>1864</v>
      </c>
      <c r="E100" s="6" t="n">
        <v>1</v>
      </c>
      <c r="F100" s="6" t="s">
        <v>1991</v>
      </c>
      <c r="G100" s="6"/>
    </row>
    <row r="101" customFormat="false" ht="15" hidden="false" customHeight="false" outlineLevel="0" collapsed="false">
      <c r="A101" s="6" t="s">
        <v>520</v>
      </c>
      <c r="B101" s="6" t="s">
        <v>521</v>
      </c>
      <c r="C101" s="6" t="s">
        <v>1876</v>
      </c>
      <c r="D101" s="6" t="s">
        <v>1877</v>
      </c>
      <c r="E101" s="6" t="n">
        <v>2</v>
      </c>
      <c r="F101" s="6" t="s">
        <v>1991</v>
      </c>
      <c r="G101" s="6"/>
    </row>
    <row r="102" customFormat="false" ht="22.35" hidden="false" customHeight="false" outlineLevel="0" collapsed="false">
      <c r="A102" s="6" t="s">
        <v>520</v>
      </c>
      <c r="B102" s="6" t="s">
        <v>521</v>
      </c>
      <c r="C102" s="6" t="s">
        <v>1908</v>
      </c>
      <c r="D102" s="6" t="s">
        <v>1909</v>
      </c>
      <c r="E102" s="6" t="n">
        <v>3</v>
      </c>
      <c r="F102" s="6" t="s">
        <v>1992</v>
      </c>
      <c r="G102" s="6"/>
    </row>
    <row r="103" customFormat="false" ht="15" hidden="false" customHeight="false" outlineLevel="0" collapsed="false">
      <c r="A103" s="6" t="s">
        <v>530</v>
      </c>
      <c r="B103" s="6" t="s">
        <v>531</v>
      </c>
      <c r="C103" s="6" t="s">
        <v>537</v>
      </c>
      <c r="D103" s="6" t="s">
        <v>1864</v>
      </c>
      <c r="E103" s="6" t="n">
        <v>1</v>
      </c>
      <c r="F103" s="6" t="s">
        <v>1991</v>
      </c>
      <c r="G103" s="6"/>
    </row>
    <row r="104" customFormat="false" ht="15" hidden="false" customHeight="false" outlineLevel="0" collapsed="false">
      <c r="A104" s="6" t="s">
        <v>539</v>
      </c>
      <c r="B104" s="6" t="s">
        <v>540</v>
      </c>
      <c r="C104" s="6" t="s">
        <v>537</v>
      </c>
      <c r="D104" s="6" t="s">
        <v>1864</v>
      </c>
      <c r="E104" s="6" t="n">
        <v>1</v>
      </c>
      <c r="F104" s="6" t="s">
        <v>1991</v>
      </c>
      <c r="G104" s="6"/>
    </row>
    <row r="105" customFormat="false" ht="22.35" hidden="false" customHeight="false" outlineLevel="0" collapsed="false">
      <c r="A105" s="6" t="s">
        <v>547</v>
      </c>
      <c r="B105" s="6" t="s">
        <v>548</v>
      </c>
      <c r="C105" s="6" t="s">
        <v>483</v>
      </c>
      <c r="D105" s="6" t="s">
        <v>1805</v>
      </c>
      <c r="E105" s="6" t="n">
        <v>1</v>
      </c>
      <c r="F105" s="6" t="s">
        <v>1991</v>
      </c>
      <c r="G105" s="6"/>
    </row>
    <row r="106" customFormat="false" ht="22.35" hidden="false" customHeight="false" outlineLevel="0" collapsed="false">
      <c r="A106" s="6" t="s">
        <v>547</v>
      </c>
      <c r="B106" s="6" t="s">
        <v>548</v>
      </c>
      <c r="C106" s="6" t="s">
        <v>537</v>
      </c>
      <c r="D106" s="6" t="s">
        <v>1864</v>
      </c>
      <c r="E106" s="6" t="n">
        <v>2</v>
      </c>
      <c r="F106" s="6" t="s">
        <v>1991</v>
      </c>
      <c r="G106" s="6"/>
    </row>
    <row r="107" customFormat="false" ht="15" hidden="false" customHeight="false" outlineLevel="0" collapsed="false">
      <c r="A107" s="6" t="s">
        <v>560</v>
      </c>
      <c r="B107" s="6" t="s">
        <v>561</v>
      </c>
      <c r="C107" s="6" t="s">
        <v>537</v>
      </c>
      <c r="D107" s="6" t="s">
        <v>1864</v>
      </c>
      <c r="E107" s="6" t="n">
        <v>1</v>
      </c>
      <c r="F107" s="6" t="s">
        <v>1991</v>
      </c>
      <c r="G107" s="6"/>
    </row>
    <row r="108" customFormat="false" ht="22.35" hidden="false" customHeight="false" outlineLevel="0" collapsed="false">
      <c r="A108" s="6" t="s">
        <v>565</v>
      </c>
      <c r="B108" s="6" t="s">
        <v>566</v>
      </c>
      <c r="C108" s="6" t="s">
        <v>1747</v>
      </c>
      <c r="D108" s="6" t="s">
        <v>1748</v>
      </c>
      <c r="E108" s="6" t="n">
        <v>1</v>
      </c>
      <c r="F108" s="6" t="s">
        <v>1991</v>
      </c>
      <c r="G108" s="6"/>
    </row>
    <row r="109" customFormat="false" ht="22.35" hidden="false" customHeight="false" outlineLevel="0" collapsed="false">
      <c r="A109" s="6" t="s">
        <v>565</v>
      </c>
      <c r="B109" s="6" t="s">
        <v>566</v>
      </c>
      <c r="C109" s="6" t="s">
        <v>1908</v>
      </c>
      <c r="D109" s="6" t="s">
        <v>1909</v>
      </c>
      <c r="E109" s="6" t="n">
        <v>2</v>
      </c>
      <c r="F109" s="6" t="s">
        <v>1991</v>
      </c>
      <c r="G109" s="6"/>
    </row>
    <row r="110" customFormat="false" ht="15" hidden="false" customHeight="false" outlineLevel="0" collapsed="false">
      <c r="A110" s="6" t="s">
        <v>572</v>
      </c>
      <c r="B110" s="6" t="s">
        <v>573</v>
      </c>
      <c r="C110" s="6" t="s">
        <v>574</v>
      </c>
      <c r="D110" s="6" t="s">
        <v>1743</v>
      </c>
      <c r="E110" s="6" t="n">
        <v>1</v>
      </c>
      <c r="F110" s="6" t="s">
        <v>1991</v>
      </c>
      <c r="G110" s="6"/>
    </row>
    <row r="111" customFormat="false" ht="15" hidden="false" customHeight="false" outlineLevel="0" collapsed="false">
      <c r="A111" s="6" t="s">
        <v>576</v>
      </c>
      <c r="B111" s="6" t="s">
        <v>577</v>
      </c>
      <c r="C111" s="6" t="s">
        <v>483</v>
      </c>
      <c r="D111" s="6" t="s">
        <v>1805</v>
      </c>
      <c r="E111" s="6" t="n">
        <v>1</v>
      </c>
      <c r="F111" s="6" t="s">
        <v>1991</v>
      </c>
      <c r="G111" s="6"/>
    </row>
    <row r="112" customFormat="false" ht="15" hidden="false" customHeight="false" outlineLevel="0" collapsed="false">
      <c r="A112" s="6" t="s">
        <v>576</v>
      </c>
      <c r="B112" s="6" t="s">
        <v>577</v>
      </c>
      <c r="C112" s="6" t="s">
        <v>1828</v>
      </c>
      <c r="D112" s="6" t="s">
        <v>1829</v>
      </c>
      <c r="E112" s="6" t="n">
        <v>2</v>
      </c>
      <c r="F112" s="6" t="s">
        <v>1991</v>
      </c>
      <c r="G112" s="6"/>
    </row>
    <row r="113" customFormat="false" ht="15" hidden="false" customHeight="false" outlineLevel="0" collapsed="false">
      <c r="A113" s="6" t="s">
        <v>587</v>
      </c>
      <c r="B113" s="6" t="s">
        <v>588</v>
      </c>
      <c r="C113" s="6" t="s">
        <v>1816</v>
      </c>
      <c r="D113" s="6" t="s">
        <v>1817</v>
      </c>
      <c r="E113" s="6" t="n">
        <v>1</v>
      </c>
      <c r="F113" s="6" t="s">
        <v>1991</v>
      </c>
      <c r="G113" s="6"/>
    </row>
    <row r="114" customFormat="false" ht="15" hidden="false" customHeight="false" outlineLevel="0" collapsed="false">
      <c r="A114" s="6" t="s">
        <v>587</v>
      </c>
      <c r="B114" s="6" t="s">
        <v>588</v>
      </c>
      <c r="C114" s="6" t="s">
        <v>1822</v>
      </c>
      <c r="D114" s="6" t="s">
        <v>1823</v>
      </c>
      <c r="E114" s="6" t="n">
        <v>2</v>
      </c>
      <c r="F114" s="6" t="s">
        <v>1991</v>
      </c>
      <c r="G114" s="6"/>
    </row>
    <row r="115" customFormat="false" ht="22.35" hidden="false" customHeight="false" outlineLevel="0" collapsed="false">
      <c r="A115" s="6" t="s">
        <v>587</v>
      </c>
      <c r="B115" s="6" t="s">
        <v>588</v>
      </c>
      <c r="C115" s="6" t="s">
        <v>1908</v>
      </c>
      <c r="D115" s="6" t="s">
        <v>1909</v>
      </c>
      <c r="E115" s="6" t="n">
        <v>3</v>
      </c>
      <c r="F115" s="6" t="s">
        <v>1992</v>
      </c>
      <c r="G115" s="6"/>
    </row>
    <row r="116" customFormat="false" ht="22.35" hidden="false" customHeight="false" outlineLevel="0" collapsed="false">
      <c r="A116" s="6" t="s">
        <v>596</v>
      </c>
      <c r="B116" s="6" t="s">
        <v>597</v>
      </c>
      <c r="C116" s="6" t="s">
        <v>1816</v>
      </c>
      <c r="D116" s="6" t="s">
        <v>1817</v>
      </c>
      <c r="E116" s="6" t="n">
        <v>1</v>
      </c>
      <c r="F116" s="6" t="s">
        <v>1991</v>
      </c>
      <c r="G116" s="6"/>
    </row>
    <row r="117" customFormat="false" ht="22.35" hidden="false" customHeight="false" outlineLevel="0" collapsed="false">
      <c r="A117" s="6" t="s">
        <v>596</v>
      </c>
      <c r="B117" s="6" t="s">
        <v>597</v>
      </c>
      <c r="C117" s="6" t="s">
        <v>483</v>
      </c>
      <c r="D117" s="6" t="s">
        <v>1805</v>
      </c>
      <c r="E117" s="6" t="n">
        <v>2</v>
      </c>
      <c r="F117" s="6" t="s">
        <v>1991</v>
      </c>
      <c r="G117" s="6"/>
    </row>
    <row r="118" customFormat="false" ht="15" hidden="false" customHeight="false" outlineLevel="0" collapsed="false">
      <c r="A118" s="6" t="s">
        <v>604</v>
      </c>
      <c r="B118" s="6" t="s">
        <v>605</v>
      </c>
      <c r="C118" s="6" t="s">
        <v>483</v>
      </c>
      <c r="D118" s="6" t="s">
        <v>1805</v>
      </c>
      <c r="E118" s="6" t="n">
        <v>1</v>
      </c>
      <c r="F118" s="6" t="s">
        <v>1991</v>
      </c>
      <c r="G118" s="6"/>
    </row>
    <row r="119" customFormat="false" ht="15" hidden="false" customHeight="false" outlineLevel="0" collapsed="false">
      <c r="A119" s="6" t="s">
        <v>604</v>
      </c>
      <c r="B119" s="6" t="s">
        <v>605</v>
      </c>
      <c r="C119" s="6" t="s">
        <v>1892</v>
      </c>
      <c r="D119" s="6" t="s">
        <v>1893</v>
      </c>
      <c r="E119" s="6" t="n">
        <v>2</v>
      </c>
      <c r="F119" s="6" t="s">
        <v>1991</v>
      </c>
      <c r="G119" s="6"/>
    </row>
    <row r="120" customFormat="false" ht="22.35" hidden="false" customHeight="false" outlineLevel="0" collapsed="false">
      <c r="A120" s="6" t="s">
        <v>614</v>
      </c>
      <c r="B120" s="6" t="s">
        <v>615</v>
      </c>
      <c r="C120" s="6" t="s">
        <v>263</v>
      </c>
      <c r="D120" s="6" t="s">
        <v>1833</v>
      </c>
      <c r="E120" s="6" t="n">
        <v>1</v>
      </c>
      <c r="F120" s="6" t="s">
        <v>1991</v>
      </c>
      <c r="G120" s="6"/>
    </row>
    <row r="121" customFormat="false" ht="15" hidden="false" customHeight="false" outlineLevel="0" collapsed="false">
      <c r="A121" s="6" t="s">
        <v>614</v>
      </c>
      <c r="B121" s="6" t="s">
        <v>615</v>
      </c>
      <c r="C121" s="6" t="s">
        <v>1898</v>
      </c>
      <c r="D121" s="6" t="s">
        <v>1899</v>
      </c>
      <c r="E121" s="6" t="n">
        <v>2</v>
      </c>
      <c r="F121" s="6" t="s">
        <v>1991</v>
      </c>
      <c r="G121" s="6"/>
    </row>
    <row r="122" customFormat="false" ht="22.35" hidden="false" customHeight="false" outlineLevel="0" collapsed="false">
      <c r="A122" s="6" t="s">
        <v>614</v>
      </c>
      <c r="B122" s="6" t="s">
        <v>615</v>
      </c>
      <c r="C122" s="6" t="s">
        <v>1908</v>
      </c>
      <c r="D122" s="6" t="s">
        <v>1909</v>
      </c>
      <c r="E122" s="6" t="n">
        <v>3</v>
      </c>
      <c r="F122" s="6" t="s">
        <v>1992</v>
      </c>
      <c r="G122" s="6"/>
    </row>
    <row r="123" customFormat="false" ht="15" hidden="false" customHeight="false" outlineLevel="0" collapsed="false">
      <c r="A123" s="6" t="s">
        <v>623</v>
      </c>
      <c r="B123" s="6" t="s">
        <v>624</v>
      </c>
      <c r="C123" s="6" t="s">
        <v>1898</v>
      </c>
      <c r="D123" s="6" t="s">
        <v>1899</v>
      </c>
      <c r="E123" s="6" t="n">
        <v>1</v>
      </c>
      <c r="F123" s="6" t="s">
        <v>1991</v>
      </c>
      <c r="G123" s="6"/>
    </row>
    <row r="124" customFormat="false" ht="15" hidden="false" customHeight="false" outlineLevel="0" collapsed="false">
      <c r="A124" s="6" t="s">
        <v>623</v>
      </c>
      <c r="B124" s="6" t="s">
        <v>624</v>
      </c>
      <c r="C124" s="6" t="s">
        <v>1903</v>
      </c>
      <c r="D124" s="6" t="s">
        <v>1904</v>
      </c>
      <c r="E124" s="6" t="n">
        <v>2</v>
      </c>
      <c r="F124" s="6" t="s">
        <v>1991</v>
      </c>
      <c r="G124" s="6"/>
    </row>
    <row r="125" customFormat="false" ht="15" hidden="false" customHeight="false" outlineLevel="0" collapsed="false">
      <c r="A125" s="6" t="s">
        <v>632</v>
      </c>
      <c r="B125" s="6" t="s">
        <v>633</v>
      </c>
      <c r="C125" s="6" t="s">
        <v>483</v>
      </c>
      <c r="D125" s="6" t="s">
        <v>1805</v>
      </c>
      <c r="E125" s="6" t="n">
        <v>1</v>
      </c>
      <c r="F125" s="6" t="s">
        <v>1991</v>
      </c>
      <c r="G125" s="6"/>
    </row>
    <row r="126" customFormat="false" ht="15" hidden="false" customHeight="false" outlineLevel="0" collapsed="false">
      <c r="A126" s="6" t="s">
        <v>632</v>
      </c>
      <c r="B126" s="6" t="s">
        <v>633</v>
      </c>
      <c r="C126" s="6" t="s">
        <v>1816</v>
      </c>
      <c r="D126" s="6" t="s">
        <v>1817</v>
      </c>
      <c r="E126" s="6" t="n">
        <v>2</v>
      </c>
      <c r="F126" s="6" t="s">
        <v>1991</v>
      </c>
      <c r="G126" s="6"/>
    </row>
    <row r="127" customFormat="false" ht="22.35" hidden="false" customHeight="false" outlineLevel="0" collapsed="false">
      <c r="A127" s="6" t="s">
        <v>642</v>
      </c>
      <c r="B127" s="6" t="s">
        <v>643</v>
      </c>
      <c r="C127" s="6" t="s">
        <v>376</v>
      </c>
      <c r="D127" s="6" t="s">
        <v>1848</v>
      </c>
      <c r="E127" s="6" t="n">
        <v>1</v>
      </c>
      <c r="F127" s="6" t="s">
        <v>1991</v>
      </c>
      <c r="G127" s="6"/>
    </row>
    <row r="128" customFormat="false" ht="22.35" hidden="false" customHeight="false" outlineLevel="0" collapsed="false">
      <c r="A128" s="6" t="s">
        <v>642</v>
      </c>
      <c r="B128" s="6" t="s">
        <v>643</v>
      </c>
      <c r="C128" s="6" t="s">
        <v>1859</v>
      </c>
      <c r="D128" s="6" t="s">
        <v>1860</v>
      </c>
      <c r="E128" s="6" t="n">
        <v>2</v>
      </c>
      <c r="F128" s="6" t="s">
        <v>1991</v>
      </c>
      <c r="G128" s="6"/>
    </row>
    <row r="129" customFormat="false" ht="15" hidden="false" customHeight="false" outlineLevel="0" collapsed="false">
      <c r="A129" s="6" t="s">
        <v>649</v>
      </c>
      <c r="B129" s="6" t="s">
        <v>650</v>
      </c>
      <c r="C129" s="6" t="s">
        <v>376</v>
      </c>
      <c r="D129" s="6" t="s">
        <v>1848</v>
      </c>
      <c r="E129" s="6" t="n">
        <v>1</v>
      </c>
      <c r="F129" s="6" t="s">
        <v>1991</v>
      </c>
      <c r="G129" s="6"/>
    </row>
    <row r="130" customFormat="false" ht="15" hidden="false" customHeight="false" outlineLevel="0" collapsed="false">
      <c r="A130" s="6" t="s">
        <v>655</v>
      </c>
      <c r="B130" s="6" t="s">
        <v>656</v>
      </c>
      <c r="C130" s="6" t="s">
        <v>483</v>
      </c>
      <c r="D130" s="6" t="s">
        <v>1805</v>
      </c>
      <c r="E130" s="6" t="n">
        <v>1</v>
      </c>
      <c r="F130" s="6" t="s">
        <v>1991</v>
      </c>
      <c r="G130" s="6"/>
    </row>
    <row r="131" customFormat="false" ht="15" hidden="false" customHeight="false" outlineLevel="0" collapsed="false">
      <c r="A131" s="6" t="s">
        <v>664</v>
      </c>
      <c r="B131" s="6" t="s">
        <v>665</v>
      </c>
      <c r="C131" s="6" t="s">
        <v>670</v>
      </c>
      <c r="D131" s="6" t="s">
        <v>1811</v>
      </c>
      <c r="E131" s="6" t="n">
        <v>1</v>
      </c>
      <c r="F131" s="6" t="s">
        <v>1991</v>
      </c>
      <c r="G131" s="6"/>
    </row>
    <row r="132" customFormat="false" ht="22.35" hidden="false" customHeight="false" outlineLevel="0" collapsed="false">
      <c r="A132" s="6" t="s">
        <v>672</v>
      </c>
      <c r="B132" s="6" t="s">
        <v>673</v>
      </c>
      <c r="C132" s="6" t="s">
        <v>1957</v>
      </c>
      <c r="D132" s="6" t="s">
        <v>1958</v>
      </c>
      <c r="E132" s="6" t="n">
        <v>1</v>
      </c>
      <c r="F132" s="6" t="s">
        <v>1991</v>
      </c>
      <c r="G132" s="6"/>
    </row>
    <row r="133" customFormat="false" ht="22.35" hidden="false" customHeight="false" outlineLevel="0" collapsed="false">
      <c r="A133" s="6" t="s">
        <v>672</v>
      </c>
      <c r="B133" s="6" t="s">
        <v>673</v>
      </c>
      <c r="C133" s="6" t="s">
        <v>1964</v>
      </c>
      <c r="D133" s="6" t="s">
        <v>1965</v>
      </c>
      <c r="E133" s="6" t="n">
        <v>2</v>
      </c>
      <c r="F133" s="6" t="s">
        <v>1991</v>
      </c>
      <c r="G133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0"/>
    <col collapsed="false" customWidth="true" hidden="false" outlineLevel="0" max="3" min="3" style="0" width="18"/>
    <col collapsed="false" customWidth="true" hidden="false" outlineLevel="0" max="5" min="4" style="0" width="20"/>
    <col collapsed="false" customWidth="true" hidden="false" outlineLevel="0" max="6" min="6" style="0" width="12"/>
    <col collapsed="false" customWidth="true" hidden="false" outlineLevel="0" max="7" min="7" style="0" width="25"/>
  </cols>
  <sheetData>
    <row r="1" customFormat="false" ht="46.25" hidden="false" customHeight="false" outlineLevel="0" collapsed="false">
      <c r="A1" s="5" t="s">
        <v>1993</v>
      </c>
      <c r="B1" s="5" t="s">
        <v>1994</v>
      </c>
      <c r="C1" s="5" t="s">
        <v>1995</v>
      </c>
      <c r="D1" s="5" t="s">
        <v>1996</v>
      </c>
      <c r="E1" s="5" t="s">
        <v>1997</v>
      </c>
      <c r="F1" s="5" t="s">
        <v>1998</v>
      </c>
      <c r="G1" s="5" t="s">
        <v>1999</v>
      </c>
    </row>
    <row r="2" customFormat="false" ht="22.35" hidden="false" customHeight="false" outlineLevel="0" collapsed="false">
      <c r="A2" s="6" t="s">
        <v>319</v>
      </c>
      <c r="B2" s="6" t="s">
        <v>2000</v>
      </c>
      <c r="C2" s="6" t="s">
        <v>1676</v>
      </c>
      <c r="D2" s="6" t="s">
        <v>2001</v>
      </c>
      <c r="E2" s="6" t="s">
        <v>2002</v>
      </c>
      <c r="F2" s="6" t="n">
        <v>3</v>
      </c>
      <c r="G2" s="6" t="s">
        <v>2003</v>
      </c>
    </row>
    <row r="3" customFormat="false" ht="15" hidden="false" customHeight="false" outlineLevel="0" collapsed="false">
      <c r="A3" s="6" t="s">
        <v>297</v>
      </c>
      <c r="B3" s="6" t="s">
        <v>2004</v>
      </c>
      <c r="C3" s="6" t="s">
        <v>114</v>
      </c>
      <c r="D3" s="6" t="s">
        <v>2005</v>
      </c>
      <c r="E3" s="6" t="s">
        <v>2006</v>
      </c>
      <c r="F3" s="6" t="n">
        <v>3</v>
      </c>
      <c r="G3" s="6" t="s">
        <v>2007</v>
      </c>
    </row>
    <row r="4" customFormat="false" ht="22.35" hidden="false" customHeight="false" outlineLevel="0" collapsed="false">
      <c r="A4" s="6" t="s">
        <v>474</v>
      </c>
      <c r="B4" s="6" t="s">
        <v>2008</v>
      </c>
      <c r="C4" s="6" t="s">
        <v>471</v>
      </c>
      <c r="D4" s="6" t="s">
        <v>2009</v>
      </c>
      <c r="E4" s="6" t="s">
        <v>2010</v>
      </c>
      <c r="F4" s="6" t="n">
        <v>2</v>
      </c>
      <c r="G4" s="6" t="s">
        <v>1678</v>
      </c>
    </row>
    <row r="5" customFormat="false" ht="15" hidden="false" customHeight="false" outlineLevel="0" collapsed="false">
      <c r="A5" s="6" t="s">
        <v>593</v>
      </c>
      <c r="B5" s="6" t="s">
        <v>2011</v>
      </c>
      <c r="C5" s="6" t="s">
        <v>580</v>
      </c>
      <c r="D5" s="6" t="s">
        <v>2012</v>
      </c>
      <c r="E5" s="6" t="s">
        <v>2013</v>
      </c>
      <c r="F5" s="6" t="n">
        <v>3</v>
      </c>
      <c r="G5" s="6" t="s">
        <v>2014</v>
      </c>
    </row>
    <row r="6" customFormat="false" ht="15" hidden="false" customHeight="false" outlineLevel="0" collapsed="false">
      <c r="A6" s="6" t="s">
        <v>669</v>
      </c>
      <c r="B6" s="6" t="s">
        <v>2015</v>
      </c>
      <c r="C6" s="6" t="s">
        <v>445</v>
      </c>
      <c r="D6" s="6" t="s">
        <v>2001</v>
      </c>
      <c r="E6" s="6" t="s">
        <v>2016</v>
      </c>
      <c r="F6" s="6" t="n">
        <v>3</v>
      </c>
      <c r="G6" s="6" t="s">
        <v>2007</v>
      </c>
    </row>
    <row r="7" customFormat="false" ht="22.35" hidden="false" customHeight="false" outlineLevel="0" collapsed="false">
      <c r="A7" s="6" t="s">
        <v>418</v>
      </c>
      <c r="B7" s="6" t="s">
        <v>2017</v>
      </c>
      <c r="C7" s="6" t="s">
        <v>414</v>
      </c>
      <c r="D7" s="6" t="s">
        <v>2018</v>
      </c>
      <c r="E7" s="6" t="s">
        <v>2019</v>
      </c>
      <c r="F7" s="6" t="n">
        <v>4</v>
      </c>
      <c r="G7" s="6" t="s">
        <v>1678</v>
      </c>
    </row>
    <row r="8" customFormat="false" ht="15" hidden="false" customHeight="false" outlineLevel="0" collapsed="false">
      <c r="A8" s="6" t="s">
        <v>653</v>
      </c>
      <c r="B8" s="6" t="s">
        <v>2020</v>
      </c>
      <c r="C8" s="6" t="s">
        <v>156</v>
      </c>
      <c r="D8" s="6" t="s">
        <v>2021</v>
      </c>
      <c r="E8" s="6" t="s">
        <v>2016</v>
      </c>
      <c r="F8" s="6" t="n">
        <v>1</v>
      </c>
      <c r="G8" s="6" t="s">
        <v>1678</v>
      </c>
    </row>
    <row r="9" customFormat="false" ht="15" hidden="false" customHeight="false" outlineLevel="0" collapsed="false">
      <c r="A9" s="6" t="s">
        <v>1856</v>
      </c>
      <c r="B9" s="6" t="s">
        <v>2022</v>
      </c>
      <c r="C9" s="6" t="s">
        <v>156</v>
      </c>
      <c r="D9" s="6" t="s">
        <v>2021</v>
      </c>
      <c r="E9" s="6" t="s">
        <v>2016</v>
      </c>
      <c r="F9" s="6" t="n">
        <v>2</v>
      </c>
      <c r="G9" s="6" t="s">
        <v>1678</v>
      </c>
    </row>
    <row r="10" customFormat="false" ht="15" hidden="false" customHeight="false" outlineLevel="0" collapsed="false">
      <c r="A10" s="6" t="s">
        <v>185</v>
      </c>
      <c r="B10" s="6" t="s">
        <v>2023</v>
      </c>
      <c r="C10" s="6" t="s">
        <v>156</v>
      </c>
      <c r="D10" s="6" t="s">
        <v>2024</v>
      </c>
      <c r="E10" s="6" t="s">
        <v>2025</v>
      </c>
      <c r="F10" s="6" t="n">
        <v>6</v>
      </c>
      <c r="G10" s="6" t="s">
        <v>2014</v>
      </c>
    </row>
    <row r="11" customFormat="false" ht="15" hidden="false" customHeight="false" outlineLevel="0" collapsed="false">
      <c r="A11" s="6" t="s">
        <v>262</v>
      </c>
      <c r="B11" s="6" t="s">
        <v>2026</v>
      </c>
      <c r="C11" s="6" t="s">
        <v>243</v>
      </c>
      <c r="D11" s="6" t="s">
        <v>2027</v>
      </c>
      <c r="E11" s="6" t="s">
        <v>2025</v>
      </c>
      <c r="F11" s="6" t="n">
        <v>3</v>
      </c>
      <c r="G11" s="6" t="s">
        <v>1678</v>
      </c>
    </row>
    <row r="12" customFormat="false" ht="15" hidden="false" customHeight="false" outlineLevel="0" collapsed="false">
      <c r="A12" s="6" t="s">
        <v>236</v>
      </c>
      <c r="B12" s="6" t="s">
        <v>2028</v>
      </c>
      <c r="C12" s="6" t="s">
        <v>200</v>
      </c>
      <c r="D12" s="6" t="s">
        <v>2012</v>
      </c>
      <c r="E12" s="6" t="s">
        <v>2016</v>
      </c>
      <c r="F12" s="6" t="n">
        <v>4</v>
      </c>
      <c r="G12" s="6" t="s">
        <v>2014</v>
      </c>
    </row>
    <row r="13" customFormat="false" ht="15" hidden="false" customHeight="false" outlineLevel="0" collapsed="false">
      <c r="A13" s="6" t="s">
        <v>1766</v>
      </c>
      <c r="B13" s="6" t="s">
        <v>2029</v>
      </c>
      <c r="C13" s="6" t="s">
        <v>210</v>
      </c>
      <c r="D13" s="6" t="s">
        <v>2012</v>
      </c>
      <c r="E13" s="6" t="s">
        <v>2016</v>
      </c>
      <c r="F13" s="6" t="n">
        <v>4</v>
      </c>
      <c r="G13" s="6" t="s">
        <v>2014</v>
      </c>
    </row>
    <row r="14" customFormat="false" ht="15" hidden="false" customHeight="false" outlineLevel="0" collapsed="false">
      <c r="A14" s="6" t="s">
        <v>2030</v>
      </c>
      <c r="B14" s="6" t="s">
        <v>2031</v>
      </c>
      <c r="C14" s="6" t="s">
        <v>1595</v>
      </c>
      <c r="D14" s="6" t="s">
        <v>2012</v>
      </c>
      <c r="E14" s="6" t="s">
        <v>2016</v>
      </c>
      <c r="F14" s="6" t="n">
        <v>0</v>
      </c>
      <c r="G14" s="6" t="s">
        <v>2032</v>
      </c>
    </row>
    <row r="15" customFormat="false" ht="15" hidden="false" customHeight="false" outlineLevel="0" collapsed="false">
      <c r="A15" s="6" t="s">
        <v>504</v>
      </c>
      <c r="B15" s="6" t="s">
        <v>2033</v>
      </c>
      <c r="C15" s="6" t="s">
        <v>489</v>
      </c>
      <c r="D15" s="6" t="s">
        <v>2034</v>
      </c>
      <c r="E15" s="6" t="s">
        <v>2016</v>
      </c>
      <c r="F15" s="6" t="n">
        <v>1</v>
      </c>
      <c r="G15" s="6" t="s">
        <v>1678</v>
      </c>
    </row>
    <row r="16" customFormat="false" ht="15" hidden="false" customHeight="false" outlineLevel="0" collapsed="false">
      <c r="A16" s="6" t="s">
        <v>536</v>
      </c>
      <c r="B16" s="6" t="s">
        <v>2035</v>
      </c>
      <c r="C16" s="6" t="s">
        <v>1024</v>
      </c>
      <c r="D16" s="6" t="s">
        <v>2036</v>
      </c>
      <c r="E16" s="6" t="s">
        <v>2016</v>
      </c>
      <c r="F16" s="6" t="n">
        <v>1</v>
      </c>
      <c r="G16" s="6" t="s">
        <v>1678</v>
      </c>
    </row>
    <row r="17" customFormat="false" ht="15" hidden="false" customHeight="false" outlineLevel="0" collapsed="false">
      <c r="A17" s="6" t="s">
        <v>1873</v>
      </c>
      <c r="B17" s="6" t="s">
        <v>2037</v>
      </c>
      <c r="C17" s="6" t="s">
        <v>511</v>
      </c>
      <c r="D17" s="6" t="s">
        <v>2036</v>
      </c>
      <c r="E17" s="6" t="s">
        <v>2016</v>
      </c>
      <c r="F17" s="6" t="n">
        <v>2</v>
      </c>
      <c r="G17" s="6" t="s">
        <v>1678</v>
      </c>
    </row>
    <row r="18" customFormat="false" ht="15" hidden="false" customHeight="false" outlineLevel="0" collapsed="false">
      <c r="A18" s="6" t="s">
        <v>1895</v>
      </c>
      <c r="B18" s="6" t="s">
        <v>2038</v>
      </c>
      <c r="C18" s="6" t="s">
        <v>607</v>
      </c>
      <c r="D18" s="6" t="s">
        <v>2039</v>
      </c>
      <c r="E18" s="6" t="s">
        <v>2016</v>
      </c>
      <c r="F18" s="6" t="n">
        <v>1</v>
      </c>
      <c r="G18" s="6" t="s">
        <v>1678</v>
      </c>
    </row>
    <row r="19" customFormat="false" ht="15" hidden="false" customHeight="false" outlineLevel="0" collapsed="false">
      <c r="A19" s="6" t="s">
        <v>629</v>
      </c>
      <c r="B19" s="6" t="s">
        <v>2040</v>
      </c>
      <c r="C19" s="6" t="s">
        <v>607</v>
      </c>
      <c r="D19" s="6" t="s">
        <v>2039</v>
      </c>
      <c r="E19" s="6" t="s">
        <v>2016</v>
      </c>
      <c r="F19" s="6" t="n">
        <v>2</v>
      </c>
      <c r="G19" s="6" t="s">
        <v>1678</v>
      </c>
    </row>
    <row r="20" customFormat="false" ht="15" hidden="false" customHeight="false" outlineLevel="0" collapsed="false">
      <c r="A20" s="6" t="s">
        <v>290</v>
      </c>
      <c r="B20" s="6" t="s">
        <v>2041</v>
      </c>
      <c r="C20" s="6" t="s">
        <v>276</v>
      </c>
      <c r="D20" s="6" t="s">
        <v>2042</v>
      </c>
      <c r="E20" s="6" t="s">
        <v>2025</v>
      </c>
      <c r="F20" s="6" t="n">
        <v>0</v>
      </c>
      <c r="G20" s="6" t="s">
        <v>2032</v>
      </c>
    </row>
    <row r="21" customFormat="false" ht="15" hidden="false" customHeight="false" outlineLevel="0" collapsed="false">
      <c r="A21" s="6" t="s">
        <v>406</v>
      </c>
      <c r="B21" s="6" t="s">
        <v>2043</v>
      </c>
      <c r="C21" s="6" t="s">
        <v>393</v>
      </c>
      <c r="D21" s="6" t="s">
        <v>2018</v>
      </c>
      <c r="E21" s="6" t="s">
        <v>2016</v>
      </c>
      <c r="F21" s="6" t="n">
        <v>0</v>
      </c>
      <c r="G21" s="6" t="s">
        <v>2032</v>
      </c>
    </row>
    <row r="22" customFormat="false" ht="22.35" hidden="false" customHeight="false" outlineLevel="0" collapsed="false">
      <c r="A22" s="6" t="s">
        <v>1975</v>
      </c>
      <c r="B22" s="6" t="s">
        <v>2044</v>
      </c>
      <c r="C22" s="6" t="s">
        <v>1676</v>
      </c>
      <c r="D22" s="6" t="s">
        <v>1972</v>
      </c>
      <c r="E22" s="6" t="s">
        <v>2013</v>
      </c>
      <c r="F22" s="6" t="n">
        <v>2</v>
      </c>
      <c r="G22" s="6" t="s">
        <v>1678</v>
      </c>
    </row>
    <row r="23" customFormat="false" ht="15" hidden="false" customHeight="false" outlineLevel="0" collapsed="false">
      <c r="A23" s="6" t="s">
        <v>2045</v>
      </c>
      <c r="B23" s="6" t="s">
        <v>2046</v>
      </c>
      <c r="C23" s="6" t="s">
        <v>551</v>
      </c>
      <c r="D23" s="6" t="s">
        <v>2047</v>
      </c>
      <c r="E23" s="6" t="s">
        <v>2016</v>
      </c>
      <c r="F23" s="6" t="n">
        <v>0</v>
      </c>
      <c r="G23" s="6" t="s">
        <v>2032</v>
      </c>
    </row>
    <row r="24" customFormat="false" ht="15" hidden="false" customHeight="false" outlineLevel="0" collapsed="false">
      <c r="A24" s="6" t="s">
        <v>2048</v>
      </c>
      <c r="B24" s="6" t="s">
        <v>2049</v>
      </c>
      <c r="C24" s="6" t="s">
        <v>382</v>
      </c>
      <c r="D24" s="6" t="s">
        <v>2050</v>
      </c>
      <c r="E24" s="6" t="s">
        <v>2016</v>
      </c>
      <c r="F24" s="6" t="n">
        <v>0</v>
      </c>
      <c r="G24" s="6" t="s">
        <v>2032</v>
      </c>
    </row>
    <row r="25" customFormat="false" ht="15" hidden="false" customHeight="false" outlineLevel="0" collapsed="false">
      <c r="A25" s="6" t="s">
        <v>1961</v>
      </c>
      <c r="B25" s="6" t="s">
        <v>2051</v>
      </c>
      <c r="C25" s="6" t="s">
        <v>675</v>
      </c>
      <c r="D25" s="6" t="s">
        <v>674</v>
      </c>
      <c r="E25" s="6" t="s">
        <v>2052</v>
      </c>
      <c r="F25" s="6" t="n">
        <v>2</v>
      </c>
      <c r="G25" s="6" t="s">
        <v>1688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7" min="6" style="0" width="14"/>
  </cols>
  <sheetData>
    <row r="1" customFormat="false" ht="35.05" hidden="false" customHeight="false" outlineLevel="0" collapsed="false">
      <c r="A1" s="5" t="s">
        <v>77</v>
      </c>
      <c r="B1" s="5" t="s">
        <v>2053</v>
      </c>
      <c r="C1" s="5" t="s">
        <v>2054</v>
      </c>
      <c r="D1" s="5" t="s">
        <v>1996</v>
      </c>
      <c r="E1" s="5" t="s">
        <v>2055</v>
      </c>
      <c r="F1" s="5" t="s">
        <v>2056</v>
      </c>
      <c r="G1" s="5" t="s">
        <v>2057</v>
      </c>
    </row>
    <row r="2" customFormat="false" ht="15" hidden="false" customHeight="false" outlineLevel="0" collapsed="false">
      <c r="A2" s="6" t="s">
        <v>99</v>
      </c>
      <c r="B2" s="6" t="s">
        <v>2058</v>
      </c>
      <c r="C2" s="6" t="s">
        <v>2059</v>
      </c>
      <c r="D2" s="6" t="s">
        <v>2060</v>
      </c>
      <c r="E2" s="6" t="s">
        <v>2061</v>
      </c>
      <c r="F2" s="6" t="n">
        <v>3</v>
      </c>
      <c r="G2" s="6" t="n">
        <v>0</v>
      </c>
    </row>
    <row r="3" customFormat="false" ht="15" hidden="false" customHeight="false" outlineLevel="0" collapsed="false">
      <c r="A3" s="6" t="s">
        <v>156</v>
      </c>
      <c r="B3" s="6" t="s">
        <v>2062</v>
      </c>
      <c r="C3" s="6" t="s">
        <v>2063</v>
      </c>
      <c r="D3" s="6" t="s">
        <v>2064</v>
      </c>
      <c r="E3" s="6" t="s">
        <v>2065</v>
      </c>
      <c r="F3" s="6" t="n">
        <v>9</v>
      </c>
      <c r="G3" s="6" t="n">
        <v>7</v>
      </c>
    </row>
    <row r="4" customFormat="false" ht="15" hidden="false" customHeight="false" outlineLevel="0" collapsed="false">
      <c r="A4" s="6" t="s">
        <v>243</v>
      </c>
      <c r="B4" s="6" t="s">
        <v>2066</v>
      </c>
      <c r="C4" s="6" t="s">
        <v>2067</v>
      </c>
      <c r="D4" s="6" t="s">
        <v>2064</v>
      </c>
      <c r="E4" s="6" t="s">
        <v>2068</v>
      </c>
      <c r="F4" s="6" t="n">
        <v>4</v>
      </c>
      <c r="G4" s="6" t="n">
        <v>3</v>
      </c>
    </row>
    <row r="5" customFormat="false" ht="15" hidden="false" customHeight="false" outlineLevel="0" collapsed="false">
      <c r="A5" s="6" t="s">
        <v>881</v>
      </c>
      <c r="B5" s="6" t="s">
        <v>2069</v>
      </c>
      <c r="C5" s="6" t="s">
        <v>2070</v>
      </c>
      <c r="D5" s="6" t="s">
        <v>2064</v>
      </c>
      <c r="E5" s="6" t="s">
        <v>2071</v>
      </c>
      <c r="F5" s="6" t="n">
        <v>0</v>
      </c>
      <c r="G5" s="6" t="n">
        <v>3</v>
      </c>
    </row>
    <row r="6" customFormat="false" ht="15" hidden="false" customHeight="false" outlineLevel="0" collapsed="false">
      <c r="A6" s="6" t="s">
        <v>1676</v>
      </c>
      <c r="B6" s="6" t="s">
        <v>2072</v>
      </c>
      <c r="C6" s="6" t="s">
        <v>2073</v>
      </c>
      <c r="D6" s="6" t="s">
        <v>2060</v>
      </c>
      <c r="E6" s="6" t="s">
        <v>2074</v>
      </c>
      <c r="F6" s="6" t="n">
        <v>0</v>
      </c>
      <c r="G6" s="6" t="n">
        <v>5</v>
      </c>
    </row>
    <row r="7" customFormat="false" ht="15" hidden="false" customHeight="false" outlineLevel="0" collapsed="false">
      <c r="A7" s="6" t="s">
        <v>114</v>
      </c>
      <c r="B7" s="6" t="s">
        <v>2075</v>
      </c>
      <c r="C7" s="6" t="s">
        <v>2076</v>
      </c>
      <c r="D7" s="6" t="s">
        <v>2077</v>
      </c>
      <c r="E7" s="6" t="s">
        <v>2078</v>
      </c>
      <c r="F7" s="6" t="n">
        <v>3</v>
      </c>
      <c r="G7" s="6" t="n">
        <v>3</v>
      </c>
    </row>
    <row r="8" customFormat="false" ht="15" hidden="false" customHeight="false" outlineLevel="0" collapsed="false">
      <c r="A8" s="6" t="s">
        <v>471</v>
      </c>
      <c r="B8" s="6" t="s">
        <v>2079</v>
      </c>
      <c r="C8" s="6" t="s">
        <v>2080</v>
      </c>
      <c r="D8" s="6" t="s">
        <v>2064</v>
      </c>
      <c r="E8" s="6" t="s">
        <v>2081</v>
      </c>
      <c r="F8" s="6" t="n">
        <v>1</v>
      </c>
      <c r="G8" s="6" t="n">
        <v>2</v>
      </c>
    </row>
    <row r="9" customFormat="false" ht="15" hidden="false" customHeight="false" outlineLevel="0" collapsed="false">
      <c r="A9" s="6" t="s">
        <v>463</v>
      </c>
      <c r="B9" s="6" t="s">
        <v>2082</v>
      </c>
      <c r="C9" s="6" t="s">
        <v>2083</v>
      </c>
      <c r="D9" s="6" t="s">
        <v>2064</v>
      </c>
      <c r="E9" s="6" t="s">
        <v>2084</v>
      </c>
      <c r="F9" s="6" t="n">
        <v>1</v>
      </c>
      <c r="G9" s="6" t="n">
        <v>1</v>
      </c>
    </row>
    <row r="10" customFormat="false" ht="15" hidden="false" customHeight="false" outlineLevel="0" collapsed="false">
      <c r="A10" s="6" t="s">
        <v>200</v>
      </c>
      <c r="B10" s="6" t="s">
        <v>2085</v>
      </c>
      <c r="C10" s="6" t="s">
        <v>2086</v>
      </c>
      <c r="D10" s="6" t="s">
        <v>2087</v>
      </c>
      <c r="E10" s="6" t="s">
        <v>2088</v>
      </c>
      <c r="F10" s="6" t="n">
        <v>4</v>
      </c>
      <c r="G10" s="6" t="n">
        <v>4</v>
      </c>
    </row>
    <row r="11" customFormat="false" ht="15" hidden="false" customHeight="false" outlineLevel="0" collapsed="false">
      <c r="A11" s="6" t="s">
        <v>210</v>
      </c>
      <c r="B11" s="6" t="s">
        <v>2089</v>
      </c>
      <c r="C11" s="6" t="s">
        <v>2090</v>
      </c>
      <c r="D11" s="6" t="s">
        <v>2087</v>
      </c>
      <c r="E11" s="6" t="s">
        <v>2091</v>
      </c>
      <c r="F11" s="6" t="n">
        <v>1</v>
      </c>
      <c r="G11" s="6" t="n">
        <v>2</v>
      </c>
    </row>
    <row r="12" customFormat="false" ht="15" hidden="false" customHeight="false" outlineLevel="0" collapsed="false">
      <c r="A12" s="6" t="s">
        <v>1595</v>
      </c>
      <c r="B12" s="6" t="s">
        <v>2092</v>
      </c>
      <c r="C12" s="6" t="s">
        <v>2093</v>
      </c>
      <c r="D12" s="6" t="s">
        <v>2087</v>
      </c>
      <c r="E12" s="6" t="s">
        <v>2094</v>
      </c>
      <c r="F12" s="6" t="n">
        <v>0</v>
      </c>
      <c r="G12" s="6" t="n">
        <v>0</v>
      </c>
    </row>
    <row r="13" customFormat="false" ht="15" hidden="false" customHeight="false" outlineLevel="0" collapsed="false">
      <c r="A13" s="6" t="s">
        <v>562</v>
      </c>
      <c r="B13" s="6" t="s">
        <v>2095</v>
      </c>
      <c r="C13" s="6" t="s">
        <v>2096</v>
      </c>
      <c r="D13" s="6" t="s">
        <v>2064</v>
      </c>
      <c r="E13" s="6" t="s">
        <v>2097</v>
      </c>
      <c r="F13" s="6" t="n">
        <v>1</v>
      </c>
      <c r="G13" s="6" t="n">
        <v>0</v>
      </c>
    </row>
    <row r="14" customFormat="false" ht="15" hidden="false" customHeight="false" outlineLevel="0" collapsed="false">
      <c r="A14" s="6" t="s">
        <v>414</v>
      </c>
      <c r="B14" s="6" t="s">
        <v>2098</v>
      </c>
      <c r="C14" s="6" t="s">
        <v>2099</v>
      </c>
      <c r="D14" s="6" t="s">
        <v>2064</v>
      </c>
      <c r="E14" s="6" t="s">
        <v>2100</v>
      </c>
      <c r="F14" s="6" t="n">
        <v>5</v>
      </c>
      <c r="G14" s="6" t="n">
        <v>4</v>
      </c>
    </row>
    <row r="15" customFormat="false" ht="15" hidden="false" customHeight="false" outlineLevel="0" collapsed="false">
      <c r="A15" s="6" t="s">
        <v>580</v>
      </c>
      <c r="B15" s="6" t="s">
        <v>2101</v>
      </c>
      <c r="C15" s="6" t="s">
        <v>2102</v>
      </c>
      <c r="D15" s="6" t="s">
        <v>2103</v>
      </c>
      <c r="E15" s="6" t="s">
        <v>2104</v>
      </c>
      <c r="F15" s="6" t="n">
        <v>3</v>
      </c>
      <c r="G15" s="6" t="n">
        <v>3</v>
      </c>
    </row>
    <row r="16" customFormat="false" ht="15" hidden="false" customHeight="false" outlineLevel="0" collapsed="false">
      <c r="A16" s="6" t="s">
        <v>489</v>
      </c>
      <c r="B16" s="6" t="s">
        <v>2105</v>
      </c>
      <c r="C16" s="6" t="s">
        <v>2106</v>
      </c>
      <c r="D16" s="6" t="s">
        <v>2060</v>
      </c>
      <c r="E16" s="6" t="s">
        <v>2107</v>
      </c>
      <c r="F16" s="6" t="n">
        <v>1</v>
      </c>
      <c r="G16" s="6" t="n">
        <v>1</v>
      </c>
    </row>
    <row r="17" customFormat="false" ht="15" hidden="false" customHeight="false" outlineLevel="0" collapsed="false">
      <c r="A17" s="6" t="s">
        <v>500</v>
      </c>
      <c r="B17" s="6" t="s">
        <v>2108</v>
      </c>
      <c r="C17" s="6" t="s">
        <v>2109</v>
      </c>
      <c r="D17" s="6" t="s">
        <v>2110</v>
      </c>
      <c r="E17" s="6" t="s">
        <v>2111</v>
      </c>
      <c r="F17" s="6" t="n">
        <v>1</v>
      </c>
      <c r="G17" s="6" t="n">
        <v>1</v>
      </c>
    </row>
    <row r="18" customFormat="false" ht="15" hidden="false" customHeight="false" outlineLevel="0" collapsed="false">
      <c r="A18" s="6" t="s">
        <v>542</v>
      </c>
      <c r="B18" s="6" t="s">
        <v>2112</v>
      </c>
      <c r="C18" s="6" t="s">
        <v>2113</v>
      </c>
      <c r="D18" s="6" t="s">
        <v>2110</v>
      </c>
      <c r="E18" s="6" t="s">
        <v>2114</v>
      </c>
      <c r="F18" s="6" t="n">
        <v>1</v>
      </c>
      <c r="G18" s="6" t="n">
        <v>0</v>
      </c>
    </row>
    <row r="19" customFormat="false" ht="15" hidden="false" customHeight="false" outlineLevel="0" collapsed="false">
      <c r="A19" s="6" t="s">
        <v>1024</v>
      </c>
      <c r="B19" s="6" t="s">
        <v>2115</v>
      </c>
      <c r="C19" s="6" t="s">
        <v>2116</v>
      </c>
      <c r="D19" s="6" t="s">
        <v>2110</v>
      </c>
      <c r="E19" s="6" t="s">
        <v>2117</v>
      </c>
      <c r="F19" s="6" t="n">
        <v>0</v>
      </c>
      <c r="G19" s="6" t="n">
        <v>1</v>
      </c>
    </row>
    <row r="20" customFormat="false" ht="15" hidden="false" customHeight="false" outlineLevel="0" collapsed="false">
      <c r="A20" s="6" t="s">
        <v>523</v>
      </c>
      <c r="B20" s="6" t="s">
        <v>2118</v>
      </c>
      <c r="C20" s="6" t="s">
        <v>2119</v>
      </c>
      <c r="D20" s="6" t="s">
        <v>2064</v>
      </c>
      <c r="E20" s="6" t="s">
        <v>2120</v>
      </c>
      <c r="F20" s="6" t="n">
        <v>2</v>
      </c>
      <c r="G20" s="6" t="n">
        <v>1</v>
      </c>
    </row>
    <row r="21" customFormat="false" ht="15" hidden="false" customHeight="false" outlineLevel="0" collapsed="false">
      <c r="A21" s="6" t="s">
        <v>511</v>
      </c>
      <c r="B21" s="6" t="s">
        <v>2121</v>
      </c>
      <c r="C21" s="6" t="s">
        <v>2122</v>
      </c>
      <c r="D21" s="6" t="s">
        <v>2123</v>
      </c>
      <c r="E21" s="6" t="s">
        <v>2124</v>
      </c>
      <c r="F21" s="6" t="n">
        <v>1</v>
      </c>
      <c r="G21" s="6" t="n">
        <v>1</v>
      </c>
    </row>
    <row r="22" customFormat="false" ht="15" hidden="false" customHeight="false" outlineLevel="0" collapsed="false">
      <c r="A22" s="6" t="s">
        <v>551</v>
      </c>
      <c r="B22" s="6" t="s">
        <v>2125</v>
      </c>
      <c r="C22" s="6" t="s">
        <v>2126</v>
      </c>
      <c r="D22" s="6" t="s">
        <v>2060</v>
      </c>
      <c r="E22" s="6" t="s">
        <v>2127</v>
      </c>
      <c r="F22" s="6" t="n">
        <v>1</v>
      </c>
      <c r="G22" s="6" t="n">
        <v>0</v>
      </c>
    </row>
    <row r="23" customFormat="false" ht="15" hidden="false" customHeight="false" outlineLevel="0" collapsed="false">
      <c r="A23" s="6" t="s">
        <v>2128</v>
      </c>
      <c r="B23" s="6" t="s">
        <v>2129</v>
      </c>
      <c r="C23" s="6" t="s">
        <v>2130</v>
      </c>
      <c r="D23" s="6" t="s">
        <v>2064</v>
      </c>
      <c r="E23" s="6" t="s">
        <v>2131</v>
      </c>
      <c r="F23" s="6" t="n">
        <v>0</v>
      </c>
      <c r="G23" s="6" t="n">
        <v>0</v>
      </c>
    </row>
    <row r="24" customFormat="false" ht="15" hidden="false" customHeight="false" outlineLevel="0" collapsed="false">
      <c r="A24" s="6" t="s">
        <v>445</v>
      </c>
      <c r="B24" s="6" t="s">
        <v>2132</v>
      </c>
      <c r="C24" s="6" t="s">
        <v>2133</v>
      </c>
      <c r="D24" s="6" t="s">
        <v>2064</v>
      </c>
      <c r="E24" s="6" t="s">
        <v>2134</v>
      </c>
      <c r="F24" s="6" t="n">
        <v>1</v>
      </c>
      <c r="G24" s="6" t="n">
        <v>1</v>
      </c>
    </row>
    <row r="25" customFormat="false" ht="15" hidden="false" customHeight="false" outlineLevel="0" collapsed="false">
      <c r="A25" s="6" t="s">
        <v>455</v>
      </c>
      <c r="B25" s="6" t="s">
        <v>2135</v>
      </c>
      <c r="C25" s="6" t="s">
        <v>2136</v>
      </c>
      <c r="D25" s="6" t="s">
        <v>2064</v>
      </c>
      <c r="E25" s="6" t="s">
        <v>2137</v>
      </c>
      <c r="F25" s="6" t="n">
        <v>2</v>
      </c>
      <c r="G25" s="6" t="n">
        <v>0</v>
      </c>
    </row>
    <row r="26" customFormat="false" ht="15" hidden="false" customHeight="false" outlineLevel="0" collapsed="false">
      <c r="A26" s="6" t="s">
        <v>2138</v>
      </c>
      <c r="B26" s="6" t="s">
        <v>2139</v>
      </c>
      <c r="C26" s="6" t="s">
        <v>2140</v>
      </c>
      <c r="D26" s="6" t="s">
        <v>2064</v>
      </c>
      <c r="E26" s="6" t="s">
        <v>2141</v>
      </c>
      <c r="F26" s="6" t="n">
        <v>0</v>
      </c>
      <c r="G26" s="6" t="n">
        <v>0</v>
      </c>
    </row>
    <row r="27" customFormat="false" ht="15" hidden="false" customHeight="false" outlineLevel="0" collapsed="false">
      <c r="A27" s="6" t="s">
        <v>607</v>
      </c>
      <c r="B27" s="6" t="s">
        <v>2142</v>
      </c>
      <c r="C27" s="6" t="s">
        <v>2143</v>
      </c>
      <c r="D27" s="6" t="s">
        <v>2064</v>
      </c>
      <c r="E27" s="6" t="s">
        <v>2144</v>
      </c>
      <c r="F27" s="6" t="n">
        <v>2</v>
      </c>
      <c r="G27" s="6" t="n">
        <v>2</v>
      </c>
    </row>
    <row r="28" customFormat="false" ht="15" hidden="false" customHeight="false" outlineLevel="0" collapsed="false">
      <c r="A28" s="6" t="s">
        <v>625</v>
      </c>
      <c r="B28" s="6" t="s">
        <v>2145</v>
      </c>
      <c r="C28" s="6" t="s">
        <v>2146</v>
      </c>
      <c r="D28" s="6" t="s">
        <v>2147</v>
      </c>
      <c r="E28" s="6" t="s">
        <v>2148</v>
      </c>
      <c r="F28" s="6" t="n">
        <v>1</v>
      </c>
      <c r="G28" s="6" t="n">
        <v>1</v>
      </c>
    </row>
    <row r="29" customFormat="false" ht="15" hidden="false" customHeight="false" outlineLevel="0" collapsed="false">
      <c r="A29" s="6" t="s">
        <v>276</v>
      </c>
      <c r="B29" s="6" t="s">
        <v>2149</v>
      </c>
      <c r="C29" s="6" t="s">
        <v>2150</v>
      </c>
      <c r="D29" s="6" t="s">
        <v>2151</v>
      </c>
      <c r="E29" s="6" t="s">
        <v>2152</v>
      </c>
      <c r="F29" s="6" t="n">
        <v>1</v>
      </c>
      <c r="G29" s="6" t="n">
        <v>0</v>
      </c>
    </row>
    <row r="30" customFormat="false" ht="15" hidden="false" customHeight="false" outlineLevel="0" collapsed="false">
      <c r="A30" s="6" t="s">
        <v>286</v>
      </c>
      <c r="B30" s="6" t="s">
        <v>2153</v>
      </c>
      <c r="C30" s="6" t="s">
        <v>2154</v>
      </c>
      <c r="D30" s="6" t="s">
        <v>2064</v>
      </c>
      <c r="E30" s="6" t="s">
        <v>2155</v>
      </c>
      <c r="F30" s="6" t="n">
        <v>1</v>
      </c>
      <c r="G30" s="6" t="n">
        <v>0</v>
      </c>
    </row>
    <row r="31" customFormat="false" ht="15" hidden="false" customHeight="false" outlineLevel="0" collapsed="false">
      <c r="A31" s="6" t="s">
        <v>354</v>
      </c>
      <c r="B31" s="6" t="s">
        <v>2156</v>
      </c>
      <c r="C31" s="6" t="s">
        <v>2157</v>
      </c>
      <c r="D31" s="6" t="s">
        <v>392</v>
      </c>
      <c r="E31" s="6" t="s">
        <v>2158</v>
      </c>
      <c r="F31" s="6" t="n">
        <v>1</v>
      </c>
      <c r="G31" s="6" t="n">
        <v>0</v>
      </c>
    </row>
    <row r="32" customFormat="false" ht="15" hidden="false" customHeight="false" outlineLevel="0" collapsed="false">
      <c r="A32" s="6" t="s">
        <v>636</v>
      </c>
      <c r="B32" s="6" t="s">
        <v>2159</v>
      </c>
      <c r="C32" s="6" t="s">
        <v>2160</v>
      </c>
      <c r="D32" s="6" t="s">
        <v>2161</v>
      </c>
      <c r="E32" s="6" t="s">
        <v>2162</v>
      </c>
      <c r="F32" s="6" t="n">
        <v>1</v>
      </c>
      <c r="G32" s="6" t="n">
        <v>0</v>
      </c>
    </row>
    <row r="33" customFormat="false" ht="15" hidden="false" customHeight="false" outlineLevel="0" collapsed="false">
      <c r="A33" s="6" t="s">
        <v>362</v>
      </c>
      <c r="B33" s="6" t="s">
        <v>2163</v>
      </c>
      <c r="C33" s="6" t="s">
        <v>2164</v>
      </c>
      <c r="D33" s="6" t="s">
        <v>2110</v>
      </c>
      <c r="E33" s="6" t="s">
        <v>2165</v>
      </c>
      <c r="F33" s="6" t="n">
        <v>1</v>
      </c>
      <c r="G33" s="6" t="n">
        <v>0</v>
      </c>
    </row>
    <row r="34" customFormat="false" ht="15" hidden="false" customHeight="false" outlineLevel="0" collapsed="false">
      <c r="A34" s="6" t="s">
        <v>691</v>
      </c>
      <c r="B34" s="6" t="s">
        <v>2166</v>
      </c>
      <c r="C34" s="6" t="s">
        <v>2167</v>
      </c>
      <c r="D34" s="6" t="s">
        <v>2110</v>
      </c>
      <c r="E34" s="6" t="s">
        <v>2168</v>
      </c>
      <c r="F34" s="6" t="n">
        <v>0</v>
      </c>
      <c r="G34" s="6" t="n">
        <v>0</v>
      </c>
    </row>
    <row r="35" customFormat="false" ht="15" hidden="false" customHeight="false" outlineLevel="0" collapsed="false">
      <c r="A35" s="6" t="s">
        <v>2169</v>
      </c>
      <c r="B35" s="6" t="s">
        <v>2170</v>
      </c>
      <c r="C35" s="6" t="s">
        <v>2171</v>
      </c>
      <c r="D35" s="6" t="s">
        <v>2110</v>
      </c>
      <c r="E35" s="6" t="s">
        <v>2172</v>
      </c>
      <c r="F35" s="6" t="n">
        <v>0</v>
      </c>
      <c r="G35" s="6" t="n">
        <v>0</v>
      </c>
    </row>
    <row r="36" customFormat="false" ht="15" hidden="false" customHeight="false" outlineLevel="0" collapsed="false">
      <c r="A36" s="6" t="s">
        <v>304</v>
      </c>
      <c r="B36" s="6" t="s">
        <v>2173</v>
      </c>
      <c r="C36" s="6" t="s">
        <v>2174</v>
      </c>
      <c r="D36" s="6" t="s">
        <v>2110</v>
      </c>
      <c r="E36" s="6" t="s">
        <v>2175</v>
      </c>
      <c r="F36" s="6" t="n">
        <v>1</v>
      </c>
      <c r="G36" s="6" t="n">
        <v>0</v>
      </c>
    </row>
    <row r="37" customFormat="false" ht="15" hidden="false" customHeight="false" outlineLevel="0" collapsed="false">
      <c r="A37" s="6" t="s">
        <v>2176</v>
      </c>
      <c r="B37" s="6" t="s">
        <v>2177</v>
      </c>
      <c r="C37" s="6" t="s">
        <v>2178</v>
      </c>
      <c r="D37" s="6" t="s">
        <v>2179</v>
      </c>
      <c r="E37" s="6" t="s">
        <v>2180</v>
      </c>
      <c r="F37" s="6" t="n">
        <v>0</v>
      </c>
      <c r="G37" s="6" t="n">
        <v>0</v>
      </c>
    </row>
    <row r="38" customFormat="false" ht="15" hidden="false" customHeight="false" outlineLevel="0" collapsed="false">
      <c r="A38" s="6" t="s">
        <v>2181</v>
      </c>
      <c r="B38" s="6" t="s">
        <v>2182</v>
      </c>
      <c r="C38" s="6" t="s">
        <v>2183</v>
      </c>
      <c r="D38" s="6" t="s">
        <v>2184</v>
      </c>
      <c r="E38" s="6" t="s">
        <v>2185</v>
      </c>
      <c r="F38" s="6" t="n">
        <v>0</v>
      </c>
      <c r="G38" s="6" t="n">
        <v>0</v>
      </c>
    </row>
    <row r="39" customFormat="false" ht="15" hidden="false" customHeight="false" outlineLevel="0" collapsed="false">
      <c r="A39" s="6" t="s">
        <v>659</v>
      </c>
      <c r="B39" s="6" t="s">
        <v>2186</v>
      </c>
      <c r="C39" s="6" t="s">
        <v>2187</v>
      </c>
      <c r="D39" s="6" t="s">
        <v>2110</v>
      </c>
      <c r="E39" s="6" t="s">
        <v>2188</v>
      </c>
      <c r="F39" s="6" t="n">
        <v>1</v>
      </c>
      <c r="G39" s="6" t="n">
        <v>0</v>
      </c>
    </row>
    <row r="40" customFormat="false" ht="15" hidden="false" customHeight="false" outlineLevel="0" collapsed="false">
      <c r="A40" s="6" t="s">
        <v>393</v>
      </c>
      <c r="B40" s="6" t="s">
        <v>2189</v>
      </c>
      <c r="C40" s="6" t="s">
        <v>2190</v>
      </c>
      <c r="D40" s="6" t="s">
        <v>2110</v>
      </c>
      <c r="E40" s="6" t="s">
        <v>2191</v>
      </c>
      <c r="F40" s="6" t="n">
        <v>2</v>
      </c>
      <c r="G40" s="6" t="n">
        <v>0</v>
      </c>
    </row>
    <row r="41" customFormat="false" ht="15" hidden="false" customHeight="false" outlineLevel="0" collapsed="false">
      <c r="A41" s="6" t="s">
        <v>2192</v>
      </c>
      <c r="B41" s="6" t="s">
        <v>2193</v>
      </c>
      <c r="C41" s="6" t="s">
        <v>2194</v>
      </c>
      <c r="D41" s="6" t="s">
        <v>2151</v>
      </c>
      <c r="E41" s="6" t="s">
        <v>2195</v>
      </c>
      <c r="F41" s="6" t="n">
        <v>0</v>
      </c>
      <c r="G41" s="6" t="n">
        <v>0</v>
      </c>
    </row>
    <row r="42" customFormat="false" ht="15" hidden="false" customHeight="false" outlineLevel="0" collapsed="false">
      <c r="A42" s="6" t="s">
        <v>315</v>
      </c>
      <c r="B42" s="6" t="s">
        <v>2196</v>
      </c>
      <c r="C42" s="6" t="s">
        <v>2197</v>
      </c>
      <c r="D42" s="6" t="s">
        <v>2151</v>
      </c>
      <c r="E42" s="6" t="s">
        <v>2198</v>
      </c>
      <c r="F42" s="6" t="n">
        <v>1</v>
      </c>
      <c r="G42" s="6" t="n">
        <v>0</v>
      </c>
    </row>
    <row r="43" customFormat="false" ht="22.35" hidden="false" customHeight="false" outlineLevel="0" collapsed="false">
      <c r="A43" s="6" t="s">
        <v>1134</v>
      </c>
      <c r="B43" s="6" t="s">
        <v>2199</v>
      </c>
      <c r="C43" s="6" t="s">
        <v>2200</v>
      </c>
      <c r="D43" s="6" t="s">
        <v>2110</v>
      </c>
      <c r="E43" s="6" t="s">
        <v>2201</v>
      </c>
      <c r="F43" s="6" t="n">
        <v>0</v>
      </c>
      <c r="G43" s="6" t="n">
        <v>0</v>
      </c>
    </row>
    <row r="44" customFormat="false" ht="15" hidden="false" customHeight="false" outlineLevel="0" collapsed="false">
      <c r="A44" s="6" t="s">
        <v>1929</v>
      </c>
      <c r="B44" s="6" t="s">
        <v>2202</v>
      </c>
      <c r="C44" s="6" t="s">
        <v>2203</v>
      </c>
      <c r="D44" s="6" t="s">
        <v>2161</v>
      </c>
      <c r="E44" s="6" t="s">
        <v>2204</v>
      </c>
      <c r="F44" s="6" t="n">
        <v>0</v>
      </c>
      <c r="G44" s="6" t="n">
        <v>5</v>
      </c>
    </row>
    <row r="45" customFormat="false" ht="15" hidden="false" customHeight="false" outlineLevel="0" collapsed="false">
      <c r="A45" s="6" t="s">
        <v>675</v>
      </c>
      <c r="B45" s="6" t="s">
        <v>2205</v>
      </c>
      <c r="C45" s="6" t="s">
        <v>2206</v>
      </c>
      <c r="D45" s="6" t="s">
        <v>2064</v>
      </c>
      <c r="E45" s="6" t="s">
        <v>2207</v>
      </c>
      <c r="F45" s="6" t="n">
        <v>1</v>
      </c>
      <c r="G45" s="6" t="n">
        <v>2</v>
      </c>
    </row>
    <row r="46" customFormat="false" ht="15" hidden="false" customHeight="false" outlineLevel="0" collapsed="false">
      <c r="A46" s="6" t="s">
        <v>479</v>
      </c>
      <c r="B46" s="6" t="s">
        <v>2208</v>
      </c>
      <c r="C46" s="6" t="s">
        <v>2209</v>
      </c>
      <c r="D46" s="6" t="s">
        <v>2210</v>
      </c>
      <c r="E46" s="6" t="s">
        <v>2211</v>
      </c>
      <c r="F46" s="6" t="n">
        <v>2</v>
      </c>
      <c r="G46" s="6" t="n">
        <v>0</v>
      </c>
    </row>
    <row r="47" customFormat="false" ht="15" hidden="false" customHeight="false" outlineLevel="0" collapsed="false">
      <c r="A47" s="6" t="s">
        <v>382</v>
      </c>
      <c r="B47" s="6" t="s">
        <v>2212</v>
      </c>
      <c r="C47" s="6" t="s">
        <v>2213</v>
      </c>
      <c r="D47" s="6" t="s">
        <v>2214</v>
      </c>
      <c r="E47" s="6" t="s">
        <v>2215</v>
      </c>
      <c r="F47" s="6" t="n">
        <v>1</v>
      </c>
      <c r="G47" s="6" t="n">
        <v>0</v>
      </c>
    </row>
    <row r="48" customFormat="false" ht="15" hidden="false" customHeight="false" outlineLevel="0" collapsed="false">
      <c r="A48" s="6" t="s">
        <v>2216</v>
      </c>
      <c r="B48" s="6" t="s">
        <v>2217</v>
      </c>
      <c r="C48" s="6" t="s">
        <v>2218</v>
      </c>
      <c r="D48" s="6" t="s">
        <v>2214</v>
      </c>
      <c r="E48" s="6" t="s">
        <v>2219</v>
      </c>
      <c r="F48" s="6" t="n">
        <v>0</v>
      </c>
      <c r="G48" s="6" t="n">
        <v>0</v>
      </c>
    </row>
    <row r="49" customFormat="false" ht="15" hidden="false" customHeight="false" outlineLevel="0" collapsed="false">
      <c r="A49" s="6" t="s">
        <v>336</v>
      </c>
      <c r="B49" s="6" t="s">
        <v>2220</v>
      </c>
      <c r="C49" s="6" t="s">
        <v>2221</v>
      </c>
      <c r="D49" s="6" t="s">
        <v>2064</v>
      </c>
      <c r="E49" s="6" t="s">
        <v>2222</v>
      </c>
      <c r="F49" s="6" t="n">
        <v>1</v>
      </c>
      <c r="G49" s="6" t="n">
        <v>0</v>
      </c>
    </row>
    <row r="50" customFormat="false" ht="15" hidden="false" customHeight="false" outlineLevel="0" collapsed="false">
      <c r="A50" s="6" t="s">
        <v>345</v>
      </c>
      <c r="B50" s="6" t="s">
        <v>2223</v>
      </c>
      <c r="C50" s="6" t="s">
        <v>2224</v>
      </c>
      <c r="D50" s="6" t="s">
        <v>2064</v>
      </c>
      <c r="E50" s="6" t="s">
        <v>2225</v>
      </c>
      <c r="F50" s="6" t="n">
        <v>1</v>
      </c>
      <c r="G50" s="6" t="n">
        <v>0</v>
      </c>
    </row>
    <row r="51" customFormat="false" ht="15" hidden="false" customHeight="false" outlineLevel="0" collapsed="false">
      <c r="A51" s="6" t="s">
        <v>325</v>
      </c>
      <c r="B51" s="6" t="s">
        <v>2226</v>
      </c>
      <c r="C51" s="6" t="s">
        <v>2227</v>
      </c>
      <c r="D51" s="6" t="s">
        <v>2064</v>
      </c>
      <c r="E51" s="6" t="s">
        <v>2228</v>
      </c>
      <c r="F51" s="6" t="n">
        <v>1</v>
      </c>
      <c r="G51" s="6" t="n">
        <v>0</v>
      </c>
    </row>
    <row r="52" customFormat="false" ht="15" hidden="false" customHeight="false" outlineLevel="0" collapsed="false">
      <c r="A52" s="6" t="s">
        <v>2229</v>
      </c>
      <c r="B52" s="6" t="s">
        <v>2230</v>
      </c>
      <c r="C52" s="6" t="s">
        <v>2231</v>
      </c>
      <c r="D52" s="6" t="s">
        <v>2064</v>
      </c>
      <c r="E52" s="6" t="s">
        <v>2232</v>
      </c>
      <c r="F52" s="6" t="n">
        <v>0</v>
      </c>
      <c r="G52" s="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1" t="s">
        <v>2233</v>
      </c>
    </row>
    <row r="2" customFormat="false" ht="15" hidden="false" customHeight="false" outlineLevel="0" collapsed="false">
      <c r="A2" s="12" t="s">
        <v>2234</v>
      </c>
    </row>
    <row r="3" customFormat="false" ht="15" hidden="false" customHeight="false" outlineLevel="0" collapsed="false">
      <c r="A3" s="12" t="s">
        <v>2235</v>
      </c>
      <c r="B3" s="4" t="n">
        <f aca="false">COUNTA(01_METIER!A:A)-1</f>
        <v>408</v>
      </c>
    </row>
    <row r="4" customFormat="false" ht="15" hidden="false" customHeight="false" outlineLevel="0" collapsed="false">
      <c r="A4" s="12" t="s">
        <v>2236</v>
      </c>
      <c r="B4" s="4" t="n">
        <f aca="false">COUNTA(02_TECHNIQUE!A:A)-1</f>
        <v>53</v>
      </c>
    </row>
    <row r="5" customFormat="false" ht="15" hidden="false" customHeight="false" outlineLevel="0" collapsed="false">
      <c r="A5" s="12" t="s">
        <v>2237</v>
      </c>
      <c r="B5" s="4" t="n">
        <f aca="false">COUNTA(04_REGISTRES!A:A)-1</f>
        <v>24</v>
      </c>
    </row>
    <row r="6" customFormat="false" ht="15" hidden="false" customHeight="false" outlineLevel="0" collapsed="false">
      <c r="A6" s="12" t="s">
        <v>2238</v>
      </c>
      <c r="B6" s="4" t="n">
        <f aca="false">COUNTA(05_INSTITUTIONS!A:A)-1</f>
        <v>51</v>
      </c>
    </row>
    <row r="7" customFormat="false" ht="15" hidden="false" customHeight="false" outlineLevel="0" collapsed="false">
      <c r="A7" s="12" t="s">
        <v>2239</v>
      </c>
      <c r="B7" s="4" t="n">
        <f aca="false">COUNTA(03_MAPPING!A:A)-1</f>
        <v>132</v>
      </c>
    </row>
    <row r="9" customFormat="false" ht="15" hidden="false" customHeight="false" outlineLevel="0" collapsed="false">
      <c r="A9" s="12" t="s">
        <v>2240</v>
      </c>
    </row>
    <row r="10" customFormat="false" ht="15" hidden="false" customHeight="false" outlineLevel="0" collapsed="false">
      <c r="A10" s="13" t="s">
        <v>2241</v>
      </c>
      <c r="B10" s="4" t="n">
        <f aca="false">COUNTIF(01_METIER!Q:Q,"v2_cadrage")</f>
        <v>65</v>
      </c>
    </row>
    <row r="11" customFormat="false" ht="15" hidden="false" customHeight="false" outlineLevel="0" collapsed="false">
      <c r="A11" s="13" t="s">
        <v>2242</v>
      </c>
      <c r="B11" s="4" t="n">
        <f aca="false">COUNTIF(01_METIER!Q:Q,"esenegal_scraping")</f>
        <v>343</v>
      </c>
    </row>
    <row r="13" customFormat="false" ht="15" hidden="false" customHeight="false" outlineLevel="0" collapsed="false">
      <c r="A13" s="12" t="s">
        <v>2243</v>
      </c>
    </row>
    <row r="14" customFormat="false" ht="15" hidden="false" customHeight="false" outlineLevel="0" collapsed="false">
      <c r="A14" s="13" t="s">
        <v>2244</v>
      </c>
      <c r="B14" s="4" t="n">
        <f aca="false">COUNTIF(01_METIER!C:C,"Professionnel")</f>
        <v>135</v>
      </c>
    </row>
    <row r="15" customFormat="false" ht="15" hidden="false" customHeight="false" outlineLevel="0" collapsed="false">
      <c r="A15" s="13" t="s">
        <v>2245</v>
      </c>
      <c r="B15" s="4" t="n">
        <f aca="false">COUNTIF(01_METIER!C:C,"Particulier")</f>
        <v>273</v>
      </c>
    </row>
    <row r="17" customFormat="false" ht="15" hidden="false" customHeight="false" outlineLevel="0" collapsed="false">
      <c r="A17" s="12" t="s">
        <v>2246</v>
      </c>
    </row>
    <row r="18" customFormat="false" ht="15" hidden="false" customHeight="false" outlineLevel="0" collapsed="false">
      <c r="A18" s="13" t="s">
        <v>56</v>
      </c>
      <c r="B18" s="4" t="n">
        <f aca="false">COUNTIF(01_METIER!K:K,"ESQUISSE")</f>
        <v>374</v>
      </c>
    </row>
    <row r="19" customFormat="false" ht="15" hidden="false" customHeight="false" outlineLevel="0" collapsed="false">
      <c r="A19" s="13" t="s">
        <v>58</v>
      </c>
      <c r="B19" s="4" t="n">
        <f aca="false">COUNTIF(01_METIER!K:K,"PRE_CADREE")</f>
        <v>18</v>
      </c>
    </row>
    <row r="20" customFormat="false" ht="15" hidden="false" customHeight="false" outlineLevel="0" collapsed="false">
      <c r="A20" s="13" t="s">
        <v>60</v>
      </c>
      <c r="B20" s="4" t="n">
        <f aca="false">COUNTIF(01_METIER!K:K,"PRETE_A_ADOPTER")</f>
        <v>16</v>
      </c>
    </row>
    <row r="22" customFormat="false" ht="15" hidden="false" customHeight="false" outlineLevel="0" collapsed="false">
      <c r="A22" s="12" t="s">
        <v>2247</v>
      </c>
    </row>
    <row r="23" customFormat="false" ht="15" hidden="false" customHeight="false" outlineLevel="0" collapsed="false">
      <c r="A23" s="13" t="s">
        <v>27</v>
      </c>
      <c r="B23" s="4" t="n">
        <f aca="false">COUNTIF(01_METIER!O:O,"FINANCES_PUBLIQUES")</f>
        <v>56</v>
      </c>
    </row>
    <row r="24" customFormat="false" ht="15" hidden="false" customHeight="false" outlineLevel="0" collapsed="false">
      <c r="A24" s="13" t="s">
        <v>29</v>
      </c>
      <c r="B24" s="4" t="n">
        <f aca="false">COUNTIF(01_METIER!O:O,"CLIMAT_AFFAIRES")</f>
        <v>30</v>
      </c>
    </row>
    <row r="25" customFormat="false" ht="15" hidden="false" customHeight="false" outlineLevel="0" collapsed="false">
      <c r="A25" s="13" t="s">
        <v>31</v>
      </c>
      <c r="B25" s="4" t="n">
        <f aca="false">COUNTIF(01_METIER!O:O,"PROTECTION_SOCIALE")</f>
        <v>33</v>
      </c>
    </row>
    <row r="26" customFormat="false" ht="15" hidden="false" customHeight="false" outlineLevel="0" collapsed="false">
      <c r="A26" s="13" t="s">
        <v>33</v>
      </c>
      <c r="B26" s="4" t="n">
        <f aca="false">COUNTIF(01_METIER!O:O,"SANTE_NUMERIQUE")</f>
        <v>10</v>
      </c>
    </row>
    <row r="27" customFormat="false" ht="15" hidden="false" customHeight="false" outlineLevel="0" collapsed="false">
      <c r="A27" s="13" t="s">
        <v>35</v>
      </c>
      <c r="B27" s="4" t="n">
        <f aca="false">COUNTIF(01_METIER!O:O,"EDUCATION")</f>
        <v>20</v>
      </c>
    </row>
    <row r="28" customFormat="false" ht="15" hidden="false" customHeight="false" outlineLevel="0" collapsed="false">
      <c r="A28" s="13" t="s">
        <v>37</v>
      </c>
      <c r="B28" s="4" t="n">
        <f aca="false">COUNTIF(01_METIER!O:O,"IDENTITE_NUMERIQUE")</f>
        <v>46</v>
      </c>
    </row>
    <row r="29" customFormat="false" ht="15" hidden="false" customHeight="false" outlineLevel="0" collapsed="false">
      <c r="A29" s="13" t="s">
        <v>39</v>
      </c>
      <c r="B29" s="4" t="n">
        <f aca="false">COUNTIF(01_METIER!O:O,"JUSTICE_ETAT_CIVIL")</f>
        <v>63</v>
      </c>
    </row>
    <row r="30" customFormat="false" ht="15" hidden="false" customHeight="false" outlineLevel="0" collapsed="false">
      <c r="A30" s="13" t="s">
        <v>41</v>
      </c>
      <c r="B30" s="4" t="n">
        <f aca="false">COUNTIF(01_METIER!O:O,"FONCIER_CADASTRE")</f>
        <v>27</v>
      </c>
    </row>
    <row r="31" customFormat="false" ht="15" hidden="false" customHeight="false" outlineLevel="0" collapsed="false">
      <c r="A31" s="13" t="s">
        <v>43</v>
      </c>
      <c r="B31" s="4" t="n">
        <f aca="false">COUNTIF(01_METIER!O:O,"AGRICULTURE_NUMERIQUE")</f>
        <v>0</v>
      </c>
    </row>
    <row r="32" customFormat="false" ht="15" hidden="false" customHeight="false" outlineLevel="0" collapsed="false">
      <c r="A32" s="13" t="s">
        <v>45</v>
      </c>
      <c r="B32" s="4" t="n">
        <f aca="false">COUNTIF(01_METIER!O:O,"EMPLOI_FORMATION")</f>
        <v>6</v>
      </c>
    </row>
    <row r="33" customFormat="false" ht="15" hidden="false" customHeight="false" outlineLevel="0" collapsed="false">
      <c r="A33" s="13" t="s">
        <v>47</v>
      </c>
      <c r="B33" s="4" t="n">
        <f aca="false">COUNTIF(01_METIER!O:O,"SERVICES_CITOYENS")</f>
        <v>95</v>
      </c>
    </row>
    <row r="34" customFormat="false" ht="15" hidden="false" customHeight="false" outlineLevel="0" collapsed="false">
      <c r="A34" s="13" t="s">
        <v>49</v>
      </c>
      <c r="B34" s="4" t="n">
        <f aca="false">COUNTIF(01_METIER!O:O,"GOUVERNANCE_DONNEES")</f>
        <v>0</v>
      </c>
    </row>
    <row r="35" customFormat="false" ht="15" hidden="false" customHeight="false" outlineLevel="0" collapsed="false">
      <c r="A35" s="13" t="s">
        <v>51</v>
      </c>
      <c r="B35" s="4" t="n">
        <f aca="false">COUNTIF(01_METIER!O:O,"CYBERSECURITE")</f>
        <v>5</v>
      </c>
    </row>
    <row r="36" customFormat="false" ht="15" hidden="false" customHeight="false" outlineLevel="0" collapsed="false">
      <c r="A36" s="13" t="s">
        <v>53</v>
      </c>
      <c r="B36" s="4" t="n">
        <f aca="false">COUNTIF(01_METIER!O:O,"TRANSVERSAL")</f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90"/>
    <col collapsed="false" customWidth="true" hidden="false" outlineLevel="0" max="4" min="4" style="0" width="25"/>
  </cols>
  <sheetData>
    <row r="1" customFormat="false" ht="15" hidden="false" customHeight="false" outlineLevel="0" collapsed="false">
      <c r="A1" s="14" t="s">
        <v>2248</v>
      </c>
    </row>
    <row r="2" customFormat="false" ht="15" hidden="false" customHeight="false" outlineLevel="0" collapsed="false">
      <c r="A2" s="15" t="s">
        <v>2249</v>
      </c>
    </row>
    <row r="4" customFormat="false" ht="15" hidden="false" customHeight="false" outlineLevel="0" collapsed="false">
      <c r="A4" s="5" t="s">
        <v>2250</v>
      </c>
      <c r="B4" s="5" t="s">
        <v>79</v>
      </c>
      <c r="C4" s="5" t="s">
        <v>2251</v>
      </c>
      <c r="D4" s="5" t="s">
        <v>2252</v>
      </c>
    </row>
    <row r="5" customFormat="false" ht="15" hidden="false" customHeight="false" outlineLevel="0" collapsed="false">
      <c r="A5" s="6" t="n">
        <v>1</v>
      </c>
      <c r="B5" s="6" t="s">
        <v>96</v>
      </c>
      <c r="C5" s="6" t="s">
        <v>683</v>
      </c>
      <c r="D5" s="6" t="s">
        <v>682</v>
      </c>
    </row>
    <row r="6" customFormat="false" ht="22.35" hidden="false" customHeight="false" outlineLevel="0" collapsed="false">
      <c r="A6" s="6" t="n">
        <v>2</v>
      </c>
      <c r="B6" s="6" t="s">
        <v>96</v>
      </c>
      <c r="C6" s="6" t="s">
        <v>2253</v>
      </c>
      <c r="D6" s="6" t="s">
        <v>2254</v>
      </c>
    </row>
    <row r="7" customFormat="false" ht="15" hidden="false" customHeight="false" outlineLevel="0" collapsed="false">
      <c r="A7" s="6" t="n">
        <v>3</v>
      </c>
      <c r="B7" s="6" t="s">
        <v>96</v>
      </c>
      <c r="C7" s="6" t="s">
        <v>689</v>
      </c>
      <c r="D7" s="6" t="s">
        <v>688</v>
      </c>
    </row>
    <row r="8" customFormat="false" ht="15" hidden="false" customHeight="false" outlineLevel="0" collapsed="false">
      <c r="A8" s="6" t="n">
        <v>4</v>
      </c>
      <c r="B8" s="6" t="s">
        <v>96</v>
      </c>
      <c r="C8" s="6" t="s">
        <v>694</v>
      </c>
      <c r="D8" s="6" t="s">
        <v>693</v>
      </c>
    </row>
    <row r="9" customFormat="false" ht="15" hidden="false" customHeight="false" outlineLevel="0" collapsed="false">
      <c r="A9" s="6" t="n">
        <v>5</v>
      </c>
      <c r="B9" s="6" t="s">
        <v>96</v>
      </c>
      <c r="C9" s="6" t="s">
        <v>698</v>
      </c>
      <c r="D9" s="6" t="s">
        <v>697</v>
      </c>
    </row>
    <row r="10" customFormat="false" ht="15" hidden="false" customHeight="false" outlineLevel="0" collapsed="false">
      <c r="A10" s="6" t="n">
        <v>6</v>
      </c>
      <c r="B10" s="6" t="s">
        <v>96</v>
      </c>
      <c r="C10" s="6" t="s">
        <v>701</v>
      </c>
      <c r="D10" s="6" t="s">
        <v>700</v>
      </c>
    </row>
    <row r="11" customFormat="false" ht="15" hidden="false" customHeight="false" outlineLevel="0" collapsed="false">
      <c r="A11" s="6" t="n">
        <v>7</v>
      </c>
      <c r="B11" s="6" t="s">
        <v>96</v>
      </c>
      <c r="C11" s="6" t="s">
        <v>704</v>
      </c>
      <c r="D11" s="6" t="s">
        <v>703</v>
      </c>
    </row>
    <row r="12" customFormat="false" ht="15" hidden="false" customHeight="false" outlineLevel="0" collapsed="false">
      <c r="A12" s="6" t="n">
        <v>8</v>
      </c>
      <c r="B12" s="6" t="s">
        <v>96</v>
      </c>
      <c r="C12" s="6" t="s">
        <v>707</v>
      </c>
      <c r="D12" s="6" t="s">
        <v>706</v>
      </c>
    </row>
    <row r="13" customFormat="false" ht="15" hidden="false" customHeight="false" outlineLevel="0" collapsed="false">
      <c r="A13" s="6" t="n">
        <v>9</v>
      </c>
      <c r="B13" s="6" t="s">
        <v>96</v>
      </c>
      <c r="C13" s="6" t="s">
        <v>710</v>
      </c>
      <c r="D13" s="6" t="s">
        <v>709</v>
      </c>
    </row>
    <row r="14" customFormat="false" ht="15" hidden="false" customHeight="false" outlineLevel="0" collapsed="false">
      <c r="A14" s="6" t="n">
        <v>10</v>
      </c>
      <c r="B14" s="6" t="s">
        <v>96</v>
      </c>
      <c r="C14" s="6" t="s">
        <v>713</v>
      </c>
      <c r="D14" s="6" t="s">
        <v>712</v>
      </c>
    </row>
    <row r="15" customFormat="false" ht="15" hidden="false" customHeight="false" outlineLevel="0" collapsed="false">
      <c r="A15" s="6" t="n">
        <v>11</v>
      </c>
      <c r="B15" s="6" t="s">
        <v>96</v>
      </c>
      <c r="C15" s="6" t="s">
        <v>716</v>
      </c>
      <c r="D15" s="6" t="s">
        <v>715</v>
      </c>
    </row>
    <row r="16" customFormat="false" ht="15" hidden="false" customHeight="false" outlineLevel="0" collapsed="false">
      <c r="A16" s="6" t="n">
        <v>12</v>
      </c>
      <c r="B16" s="6" t="s">
        <v>96</v>
      </c>
      <c r="C16" s="6" t="s">
        <v>719</v>
      </c>
      <c r="D16" s="6" t="s">
        <v>718</v>
      </c>
    </row>
    <row r="17" customFormat="false" ht="15" hidden="false" customHeight="false" outlineLevel="0" collapsed="false">
      <c r="A17" s="6" t="n">
        <v>13</v>
      </c>
      <c r="B17" s="6" t="s">
        <v>96</v>
      </c>
      <c r="C17" s="6" t="s">
        <v>722</v>
      </c>
      <c r="D17" s="6" t="s">
        <v>721</v>
      </c>
    </row>
    <row r="18" customFormat="false" ht="15" hidden="false" customHeight="false" outlineLevel="0" collapsed="false">
      <c r="A18" s="6" t="n">
        <v>14</v>
      </c>
      <c r="B18" s="6" t="s">
        <v>96</v>
      </c>
      <c r="C18" s="6" t="s">
        <v>725</v>
      </c>
      <c r="D18" s="6" t="s">
        <v>724</v>
      </c>
    </row>
    <row r="19" customFormat="false" ht="15" hidden="false" customHeight="false" outlineLevel="0" collapsed="false">
      <c r="A19" s="6" t="n">
        <v>15</v>
      </c>
      <c r="B19" s="6" t="s">
        <v>96</v>
      </c>
      <c r="C19" s="6" t="s">
        <v>728</v>
      </c>
      <c r="D19" s="6" t="s">
        <v>727</v>
      </c>
    </row>
    <row r="20" customFormat="false" ht="15" hidden="false" customHeight="false" outlineLevel="0" collapsed="false">
      <c r="A20" s="6" t="n">
        <v>16</v>
      </c>
      <c r="B20" s="6" t="s">
        <v>96</v>
      </c>
      <c r="C20" s="6" t="s">
        <v>731</v>
      </c>
      <c r="D20" s="6" t="s">
        <v>730</v>
      </c>
    </row>
    <row r="21" customFormat="false" ht="15" hidden="false" customHeight="false" outlineLevel="0" collapsed="false">
      <c r="A21" s="6" t="n">
        <v>17</v>
      </c>
      <c r="B21" s="6" t="s">
        <v>96</v>
      </c>
      <c r="C21" s="6" t="s">
        <v>736</v>
      </c>
      <c r="D21" s="6" t="s">
        <v>735</v>
      </c>
    </row>
    <row r="22" customFormat="false" ht="15" hidden="false" customHeight="false" outlineLevel="0" collapsed="false">
      <c r="A22" s="6" t="n">
        <v>18</v>
      </c>
      <c r="B22" s="6" t="s">
        <v>96</v>
      </c>
      <c r="C22" s="6" t="s">
        <v>739</v>
      </c>
      <c r="D22" s="6" t="s">
        <v>738</v>
      </c>
    </row>
    <row r="23" customFormat="false" ht="15" hidden="false" customHeight="false" outlineLevel="0" collapsed="false">
      <c r="A23" s="6" t="n">
        <v>19</v>
      </c>
      <c r="B23" s="6" t="s">
        <v>96</v>
      </c>
      <c r="C23" s="6" t="s">
        <v>742</v>
      </c>
      <c r="D23" s="6" t="s">
        <v>741</v>
      </c>
    </row>
    <row r="24" customFormat="false" ht="15" hidden="false" customHeight="false" outlineLevel="0" collapsed="false">
      <c r="A24" s="6" t="n">
        <v>20</v>
      </c>
      <c r="B24" s="6" t="s">
        <v>96</v>
      </c>
      <c r="C24" s="6" t="s">
        <v>746</v>
      </c>
      <c r="D24" s="6" t="s">
        <v>745</v>
      </c>
    </row>
    <row r="25" customFormat="false" ht="15" hidden="false" customHeight="false" outlineLevel="0" collapsed="false">
      <c r="A25" s="6" t="n">
        <v>21</v>
      </c>
      <c r="B25" s="6" t="s">
        <v>96</v>
      </c>
      <c r="C25" s="6" t="s">
        <v>749</v>
      </c>
      <c r="D25" s="6" t="s">
        <v>748</v>
      </c>
    </row>
    <row r="26" customFormat="false" ht="15" hidden="false" customHeight="false" outlineLevel="0" collapsed="false">
      <c r="A26" s="6" t="n">
        <v>22</v>
      </c>
      <c r="B26" s="6" t="s">
        <v>96</v>
      </c>
      <c r="C26" s="6" t="s">
        <v>753</v>
      </c>
      <c r="D26" s="6" t="s">
        <v>752</v>
      </c>
    </row>
    <row r="27" customFormat="false" ht="22.35" hidden="false" customHeight="false" outlineLevel="0" collapsed="false">
      <c r="A27" s="6" t="n">
        <v>23</v>
      </c>
      <c r="B27" s="6" t="s">
        <v>96</v>
      </c>
      <c r="C27" s="6" t="s">
        <v>2255</v>
      </c>
      <c r="D27" s="6" t="s">
        <v>2254</v>
      </c>
    </row>
    <row r="28" customFormat="false" ht="15" hidden="false" customHeight="false" outlineLevel="0" collapsed="false">
      <c r="A28" s="6" t="n">
        <v>24</v>
      </c>
      <c r="B28" s="6" t="s">
        <v>96</v>
      </c>
      <c r="C28" s="6" t="s">
        <v>756</v>
      </c>
      <c r="D28" s="6" t="s">
        <v>755</v>
      </c>
    </row>
    <row r="29" customFormat="false" ht="15" hidden="false" customHeight="false" outlineLevel="0" collapsed="false">
      <c r="A29" s="6" t="n">
        <v>25</v>
      </c>
      <c r="B29" s="6" t="s">
        <v>96</v>
      </c>
      <c r="C29" s="6" t="s">
        <v>759</v>
      </c>
      <c r="D29" s="6" t="s">
        <v>758</v>
      </c>
    </row>
    <row r="30" customFormat="false" ht="15" hidden="false" customHeight="false" outlineLevel="0" collapsed="false">
      <c r="A30" s="6" t="n">
        <v>26</v>
      </c>
      <c r="B30" s="6" t="s">
        <v>96</v>
      </c>
      <c r="C30" s="6" t="s">
        <v>762</v>
      </c>
      <c r="D30" s="6" t="s">
        <v>761</v>
      </c>
    </row>
    <row r="31" customFormat="false" ht="15" hidden="false" customHeight="false" outlineLevel="0" collapsed="false">
      <c r="A31" s="6" t="n">
        <v>27</v>
      </c>
      <c r="B31" s="6" t="s">
        <v>96</v>
      </c>
      <c r="C31" s="6" t="s">
        <v>765</v>
      </c>
      <c r="D31" s="6" t="s">
        <v>764</v>
      </c>
    </row>
    <row r="32" customFormat="false" ht="15" hidden="false" customHeight="false" outlineLevel="0" collapsed="false">
      <c r="A32" s="6" t="n">
        <v>28</v>
      </c>
      <c r="B32" s="6" t="s">
        <v>96</v>
      </c>
      <c r="C32" s="6" t="s">
        <v>768</v>
      </c>
      <c r="D32" s="6" t="s">
        <v>767</v>
      </c>
    </row>
    <row r="33" customFormat="false" ht="15" hidden="false" customHeight="false" outlineLevel="0" collapsed="false">
      <c r="A33" s="6" t="n">
        <v>29</v>
      </c>
      <c r="B33" s="6" t="s">
        <v>96</v>
      </c>
      <c r="C33" s="6" t="s">
        <v>771</v>
      </c>
      <c r="D33" s="6" t="s">
        <v>770</v>
      </c>
    </row>
    <row r="34" customFormat="false" ht="15" hidden="false" customHeight="false" outlineLevel="0" collapsed="false">
      <c r="A34" s="6" t="n">
        <v>30</v>
      </c>
      <c r="B34" s="6" t="s">
        <v>96</v>
      </c>
      <c r="C34" s="6" t="s">
        <v>774</v>
      </c>
      <c r="D34" s="6" t="s">
        <v>773</v>
      </c>
    </row>
    <row r="35" customFormat="false" ht="15" hidden="false" customHeight="false" outlineLevel="0" collapsed="false">
      <c r="A35" s="6" t="n">
        <v>31</v>
      </c>
      <c r="B35" s="6" t="s">
        <v>96</v>
      </c>
      <c r="C35" s="6" t="s">
        <v>777</v>
      </c>
      <c r="D35" s="6" t="s">
        <v>776</v>
      </c>
    </row>
    <row r="36" customFormat="false" ht="15" hidden="false" customHeight="false" outlineLevel="0" collapsed="false">
      <c r="A36" s="6" t="n">
        <v>32</v>
      </c>
      <c r="B36" s="6" t="s">
        <v>96</v>
      </c>
      <c r="C36" s="6" t="s">
        <v>780</v>
      </c>
      <c r="D36" s="6" t="s">
        <v>779</v>
      </c>
    </row>
    <row r="37" customFormat="false" ht="15" hidden="false" customHeight="false" outlineLevel="0" collapsed="false">
      <c r="A37" s="6" t="n">
        <v>33</v>
      </c>
      <c r="B37" s="6" t="s">
        <v>96</v>
      </c>
      <c r="C37" s="6" t="s">
        <v>783</v>
      </c>
      <c r="D37" s="6" t="s">
        <v>782</v>
      </c>
    </row>
    <row r="38" customFormat="false" ht="15" hidden="false" customHeight="false" outlineLevel="0" collapsed="false">
      <c r="A38" s="6" t="n">
        <v>34</v>
      </c>
      <c r="B38" s="6" t="s">
        <v>96</v>
      </c>
      <c r="C38" s="6" t="s">
        <v>786</v>
      </c>
      <c r="D38" s="6" t="s">
        <v>785</v>
      </c>
    </row>
    <row r="39" customFormat="false" ht="15" hidden="false" customHeight="false" outlineLevel="0" collapsed="false">
      <c r="A39" s="6" t="n">
        <v>35</v>
      </c>
      <c r="B39" s="6" t="s">
        <v>96</v>
      </c>
      <c r="C39" s="6" t="s">
        <v>789</v>
      </c>
      <c r="D39" s="6" t="s">
        <v>788</v>
      </c>
    </row>
    <row r="40" customFormat="false" ht="15" hidden="false" customHeight="false" outlineLevel="0" collapsed="false">
      <c r="A40" s="6" t="n">
        <v>36</v>
      </c>
      <c r="B40" s="6" t="s">
        <v>96</v>
      </c>
      <c r="C40" s="6" t="s">
        <v>792</v>
      </c>
      <c r="D40" s="6" t="s">
        <v>791</v>
      </c>
    </row>
    <row r="41" customFormat="false" ht="15" hidden="false" customHeight="false" outlineLevel="0" collapsed="false">
      <c r="A41" s="6" t="n">
        <v>37</v>
      </c>
      <c r="B41" s="6" t="s">
        <v>96</v>
      </c>
      <c r="C41" s="6" t="s">
        <v>795</v>
      </c>
      <c r="D41" s="6" t="s">
        <v>794</v>
      </c>
    </row>
    <row r="42" customFormat="false" ht="15" hidden="false" customHeight="false" outlineLevel="0" collapsed="false">
      <c r="A42" s="6" t="n">
        <v>38</v>
      </c>
      <c r="B42" s="6" t="s">
        <v>96</v>
      </c>
      <c r="C42" s="6" t="s">
        <v>798</v>
      </c>
      <c r="D42" s="6" t="s">
        <v>797</v>
      </c>
    </row>
    <row r="43" customFormat="false" ht="15" hidden="false" customHeight="false" outlineLevel="0" collapsed="false">
      <c r="A43" s="6" t="n">
        <v>39</v>
      </c>
      <c r="B43" s="6" t="s">
        <v>96</v>
      </c>
      <c r="C43" s="6" t="s">
        <v>800</v>
      </c>
      <c r="D43" s="6" t="s">
        <v>799</v>
      </c>
    </row>
    <row r="44" customFormat="false" ht="15" hidden="false" customHeight="false" outlineLevel="0" collapsed="false">
      <c r="A44" s="6" t="n">
        <v>40</v>
      </c>
      <c r="B44" s="6" t="s">
        <v>96</v>
      </c>
      <c r="C44" s="6" t="s">
        <v>803</v>
      </c>
      <c r="D44" s="6" t="s">
        <v>802</v>
      </c>
    </row>
    <row r="45" customFormat="false" ht="15" hidden="false" customHeight="false" outlineLevel="0" collapsed="false">
      <c r="A45" s="6" t="n">
        <v>41</v>
      </c>
      <c r="B45" s="6" t="s">
        <v>96</v>
      </c>
      <c r="C45" s="6" t="s">
        <v>805</v>
      </c>
      <c r="D45" s="6" t="s">
        <v>804</v>
      </c>
    </row>
    <row r="46" customFormat="false" ht="15" hidden="false" customHeight="false" outlineLevel="0" collapsed="false">
      <c r="A46" s="6" t="n">
        <v>42</v>
      </c>
      <c r="B46" s="6" t="s">
        <v>96</v>
      </c>
      <c r="C46" s="6" t="s">
        <v>807</v>
      </c>
      <c r="D46" s="6" t="s">
        <v>806</v>
      </c>
    </row>
    <row r="47" customFormat="false" ht="15" hidden="false" customHeight="false" outlineLevel="0" collapsed="false">
      <c r="A47" s="6" t="n">
        <v>43</v>
      </c>
      <c r="B47" s="6" t="s">
        <v>96</v>
      </c>
      <c r="C47" s="6" t="s">
        <v>809</v>
      </c>
      <c r="D47" s="6" t="s">
        <v>808</v>
      </c>
    </row>
    <row r="48" customFormat="false" ht="15" hidden="false" customHeight="false" outlineLevel="0" collapsed="false">
      <c r="A48" s="6" t="n">
        <v>44</v>
      </c>
      <c r="B48" s="6" t="s">
        <v>96</v>
      </c>
      <c r="C48" s="6" t="s">
        <v>811</v>
      </c>
      <c r="D48" s="6" t="s">
        <v>810</v>
      </c>
    </row>
    <row r="49" customFormat="false" ht="15" hidden="false" customHeight="false" outlineLevel="0" collapsed="false">
      <c r="A49" s="6" t="n">
        <v>45</v>
      </c>
      <c r="B49" s="6" t="s">
        <v>96</v>
      </c>
      <c r="C49" s="6" t="s">
        <v>813</v>
      </c>
      <c r="D49" s="6" t="s">
        <v>812</v>
      </c>
    </row>
    <row r="50" customFormat="false" ht="15" hidden="false" customHeight="false" outlineLevel="0" collapsed="false">
      <c r="A50" s="6" t="n">
        <v>46</v>
      </c>
      <c r="B50" s="6" t="s">
        <v>96</v>
      </c>
      <c r="C50" s="6" t="s">
        <v>815</v>
      </c>
      <c r="D50" s="6" t="s">
        <v>814</v>
      </c>
    </row>
    <row r="51" customFormat="false" ht="15" hidden="false" customHeight="false" outlineLevel="0" collapsed="false">
      <c r="A51" s="6" t="n">
        <v>47</v>
      </c>
      <c r="B51" s="6" t="s">
        <v>96</v>
      </c>
      <c r="C51" s="6" t="s">
        <v>817</v>
      </c>
      <c r="D51" s="6" t="s">
        <v>816</v>
      </c>
    </row>
    <row r="52" customFormat="false" ht="15" hidden="false" customHeight="false" outlineLevel="0" collapsed="false">
      <c r="A52" s="6" t="n">
        <v>48</v>
      </c>
      <c r="B52" s="6" t="s">
        <v>96</v>
      </c>
      <c r="C52" s="6" t="s">
        <v>819</v>
      </c>
      <c r="D52" s="6" t="s">
        <v>818</v>
      </c>
    </row>
    <row r="53" customFormat="false" ht="15" hidden="false" customHeight="false" outlineLevel="0" collapsed="false">
      <c r="A53" s="6" t="n">
        <v>49</v>
      </c>
      <c r="B53" s="6" t="s">
        <v>96</v>
      </c>
      <c r="C53" s="6" t="s">
        <v>821</v>
      </c>
      <c r="D53" s="6" t="s">
        <v>820</v>
      </c>
    </row>
    <row r="54" customFormat="false" ht="15" hidden="false" customHeight="false" outlineLevel="0" collapsed="false">
      <c r="A54" s="6" t="n">
        <v>50</v>
      </c>
      <c r="B54" s="6" t="s">
        <v>96</v>
      </c>
      <c r="C54" s="6" t="s">
        <v>823</v>
      </c>
      <c r="D54" s="6" t="s">
        <v>822</v>
      </c>
    </row>
    <row r="55" customFormat="false" ht="15" hidden="false" customHeight="false" outlineLevel="0" collapsed="false">
      <c r="A55" s="6" t="n">
        <v>51</v>
      </c>
      <c r="B55" s="6" t="s">
        <v>96</v>
      </c>
      <c r="C55" s="6" t="s">
        <v>825</v>
      </c>
      <c r="D55" s="6" t="s">
        <v>824</v>
      </c>
    </row>
    <row r="56" customFormat="false" ht="15" hidden="false" customHeight="false" outlineLevel="0" collapsed="false">
      <c r="A56" s="6" t="n">
        <v>52</v>
      </c>
      <c r="B56" s="6" t="s">
        <v>96</v>
      </c>
      <c r="C56" s="6" t="s">
        <v>827</v>
      </c>
      <c r="D56" s="6" t="s">
        <v>826</v>
      </c>
    </row>
    <row r="57" customFormat="false" ht="15" hidden="false" customHeight="false" outlineLevel="0" collapsed="false">
      <c r="A57" s="6" t="n">
        <v>53</v>
      </c>
      <c r="B57" s="6" t="s">
        <v>96</v>
      </c>
      <c r="C57" s="6" t="s">
        <v>829</v>
      </c>
      <c r="D57" s="6" t="s">
        <v>828</v>
      </c>
    </row>
    <row r="58" customFormat="false" ht="15" hidden="false" customHeight="false" outlineLevel="0" collapsed="false">
      <c r="A58" s="6" t="n">
        <v>54</v>
      </c>
      <c r="B58" s="6" t="s">
        <v>96</v>
      </c>
      <c r="C58" s="6" t="s">
        <v>831</v>
      </c>
      <c r="D58" s="6" t="s">
        <v>830</v>
      </c>
    </row>
    <row r="59" customFormat="false" ht="15" hidden="false" customHeight="false" outlineLevel="0" collapsed="false">
      <c r="A59" s="6" t="n">
        <v>55</v>
      </c>
      <c r="B59" s="6" t="s">
        <v>96</v>
      </c>
      <c r="C59" s="6" t="s">
        <v>833</v>
      </c>
      <c r="D59" s="6" t="s">
        <v>832</v>
      </c>
    </row>
    <row r="60" customFormat="false" ht="15" hidden="false" customHeight="false" outlineLevel="0" collapsed="false">
      <c r="A60" s="6" t="n">
        <v>56</v>
      </c>
      <c r="B60" s="6" t="s">
        <v>96</v>
      </c>
      <c r="C60" s="6" t="s">
        <v>835</v>
      </c>
      <c r="D60" s="6" t="s">
        <v>834</v>
      </c>
    </row>
    <row r="61" customFormat="false" ht="15" hidden="false" customHeight="false" outlineLevel="0" collapsed="false">
      <c r="A61" s="6" t="n">
        <v>57</v>
      </c>
      <c r="B61" s="6" t="s">
        <v>96</v>
      </c>
      <c r="C61" s="6" t="s">
        <v>837</v>
      </c>
      <c r="D61" s="6" t="s">
        <v>836</v>
      </c>
    </row>
    <row r="62" customFormat="false" ht="22.35" hidden="false" customHeight="false" outlineLevel="0" collapsed="false">
      <c r="A62" s="6" t="n">
        <v>58</v>
      </c>
      <c r="B62" s="6" t="s">
        <v>96</v>
      </c>
      <c r="C62" s="6" t="s">
        <v>839</v>
      </c>
      <c r="D62" s="6" t="s">
        <v>838</v>
      </c>
    </row>
    <row r="63" customFormat="false" ht="15" hidden="false" customHeight="false" outlineLevel="0" collapsed="false">
      <c r="A63" s="6" t="n">
        <v>59</v>
      </c>
      <c r="B63" s="6" t="s">
        <v>96</v>
      </c>
      <c r="C63" s="6" t="s">
        <v>841</v>
      </c>
      <c r="D63" s="6" t="s">
        <v>840</v>
      </c>
    </row>
    <row r="64" customFormat="false" ht="15" hidden="false" customHeight="false" outlineLevel="0" collapsed="false">
      <c r="A64" s="6" t="n">
        <v>60</v>
      </c>
      <c r="B64" s="6" t="s">
        <v>96</v>
      </c>
      <c r="C64" s="6" t="s">
        <v>843</v>
      </c>
      <c r="D64" s="6" t="s">
        <v>842</v>
      </c>
    </row>
    <row r="65" customFormat="false" ht="15" hidden="false" customHeight="false" outlineLevel="0" collapsed="false">
      <c r="A65" s="6" t="n">
        <v>61</v>
      </c>
      <c r="B65" s="6" t="s">
        <v>96</v>
      </c>
      <c r="C65" s="6" t="s">
        <v>845</v>
      </c>
      <c r="D65" s="6" t="s">
        <v>844</v>
      </c>
    </row>
    <row r="66" customFormat="false" ht="15" hidden="false" customHeight="false" outlineLevel="0" collapsed="false">
      <c r="A66" s="6" t="n">
        <v>62</v>
      </c>
      <c r="B66" s="6" t="s">
        <v>96</v>
      </c>
      <c r="C66" s="6" t="s">
        <v>847</v>
      </c>
      <c r="D66" s="6" t="s">
        <v>846</v>
      </c>
    </row>
    <row r="67" customFormat="false" ht="15" hidden="false" customHeight="false" outlineLevel="0" collapsed="false">
      <c r="A67" s="6" t="n">
        <v>63</v>
      </c>
      <c r="B67" s="6" t="s">
        <v>96</v>
      </c>
      <c r="C67" s="6" t="s">
        <v>849</v>
      </c>
      <c r="D67" s="6" t="s">
        <v>848</v>
      </c>
    </row>
    <row r="68" customFormat="false" ht="15" hidden="false" customHeight="false" outlineLevel="0" collapsed="false">
      <c r="A68" s="6" t="n">
        <v>64</v>
      </c>
      <c r="B68" s="6" t="s">
        <v>96</v>
      </c>
      <c r="C68" s="6" t="s">
        <v>851</v>
      </c>
      <c r="D68" s="6" t="s">
        <v>850</v>
      </c>
    </row>
    <row r="69" customFormat="false" ht="15" hidden="false" customHeight="false" outlineLevel="0" collapsed="false">
      <c r="A69" s="6" t="n">
        <v>65</v>
      </c>
      <c r="B69" s="6" t="s">
        <v>96</v>
      </c>
      <c r="C69" s="6" t="s">
        <v>853</v>
      </c>
      <c r="D69" s="6" t="s">
        <v>852</v>
      </c>
    </row>
    <row r="70" customFormat="false" ht="15" hidden="false" customHeight="false" outlineLevel="0" collapsed="false">
      <c r="A70" s="6" t="n">
        <v>66</v>
      </c>
      <c r="B70" s="6" t="s">
        <v>96</v>
      </c>
      <c r="C70" s="6" t="s">
        <v>855</v>
      </c>
      <c r="D70" s="6" t="s">
        <v>854</v>
      </c>
    </row>
    <row r="71" customFormat="false" ht="15" hidden="false" customHeight="false" outlineLevel="0" collapsed="false">
      <c r="A71" s="6" t="n">
        <v>67</v>
      </c>
      <c r="B71" s="6" t="s">
        <v>96</v>
      </c>
      <c r="C71" s="6" t="s">
        <v>858</v>
      </c>
      <c r="D71" s="6" t="s">
        <v>857</v>
      </c>
    </row>
    <row r="72" customFormat="false" ht="15" hidden="false" customHeight="false" outlineLevel="0" collapsed="false">
      <c r="A72" s="6" t="n">
        <v>68</v>
      </c>
      <c r="B72" s="6" t="s">
        <v>96</v>
      </c>
      <c r="C72" s="6" t="s">
        <v>860</v>
      </c>
      <c r="D72" s="6" t="s">
        <v>859</v>
      </c>
    </row>
    <row r="73" customFormat="false" ht="15" hidden="false" customHeight="false" outlineLevel="0" collapsed="false">
      <c r="A73" s="6" t="n">
        <v>69</v>
      </c>
      <c r="B73" s="6" t="s">
        <v>96</v>
      </c>
      <c r="C73" s="6" t="s">
        <v>862</v>
      </c>
      <c r="D73" s="6" t="s">
        <v>861</v>
      </c>
    </row>
    <row r="74" customFormat="false" ht="15" hidden="false" customHeight="false" outlineLevel="0" collapsed="false">
      <c r="A74" s="6" t="n">
        <v>70</v>
      </c>
      <c r="B74" s="6" t="s">
        <v>96</v>
      </c>
      <c r="C74" s="6" t="s">
        <v>864</v>
      </c>
      <c r="D74" s="6" t="s">
        <v>863</v>
      </c>
    </row>
    <row r="75" customFormat="false" ht="15" hidden="false" customHeight="false" outlineLevel="0" collapsed="false">
      <c r="A75" s="6" t="n">
        <v>71</v>
      </c>
      <c r="B75" s="6" t="s">
        <v>96</v>
      </c>
      <c r="C75" s="6" t="s">
        <v>866</v>
      </c>
      <c r="D75" s="6" t="s">
        <v>865</v>
      </c>
    </row>
    <row r="76" customFormat="false" ht="15" hidden="false" customHeight="false" outlineLevel="0" collapsed="false">
      <c r="A76" s="6" t="n">
        <v>72</v>
      </c>
      <c r="B76" s="6" t="s">
        <v>96</v>
      </c>
      <c r="C76" s="6" t="s">
        <v>868</v>
      </c>
      <c r="D76" s="6" t="s">
        <v>867</v>
      </c>
    </row>
    <row r="77" customFormat="false" ht="15" hidden="false" customHeight="false" outlineLevel="0" collapsed="false">
      <c r="A77" s="6" t="n">
        <v>73</v>
      </c>
      <c r="B77" s="6" t="s">
        <v>96</v>
      </c>
      <c r="C77" s="6" t="s">
        <v>870</v>
      </c>
      <c r="D77" s="6" t="s">
        <v>869</v>
      </c>
    </row>
    <row r="78" customFormat="false" ht="15" hidden="false" customHeight="false" outlineLevel="0" collapsed="false">
      <c r="A78" s="6" t="n">
        <v>74</v>
      </c>
      <c r="B78" s="6" t="s">
        <v>96</v>
      </c>
      <c r="C78" s="6" t="s">
        <v>872</v>
      </c>
      <c r="D78" s="6" t="s">
        <v>871</v>
      </c>
    </row>
    <row r="79" customFormat="false" ht="22.35" hidden="false" customHeight="false" outlineLevel="0" collapsed="false">
      <c r="A79" s="6" t="n">
        <v>75</v>
      </c>
      <c r="B79" s="6" t="s">
        <v>96</v>
      </c>
      <c r="C79" s="6" t="s">
        <v>874</v>
      </c>
      <c r="D79" s="6" t="s">
        <v>873</v>
      </c>
    </row>
    <row r="80" customFormat="false" ht="15" hidden="false" customHeight="false" outlineLevel="0" collapsed="false">
      <c r="A80" s="6" t="n">
        <v>76</v>
      </c>
      <c r="B80" s="6" t="s">
        <v>96</v>
      </c>
      <c r="C80" s="6" t="s">
        <v>876</v>
      </c>
      <c r="D80" s="6" t="s">
        <v>875</v>
      </c>
    </row>
    <row r="81" customFormat="false" ht="15" hidden="false" customHeight="false" outlineLevel="0" collapsed="false">
      <c r="A81" s="6" t="n">
        <v>77</v>
      </c>
      <c r="B81" s="6" t="s">
        <v>96</v>
      </c>
      <c r="C81" s="6" t="s">
        <v>878</v>
      </c>
      <c r="D81" s="6" t="s">
        <v>877</v>
      </c>
    </row>
    <row r="82" customFormat="false" ht="15" hidden="false" customHeight="false" outlineLevel="0" collapsed="false">
      <c r="A82" s="6" t="n">
        <v>78</v>
      </c>
      <c r="B82" s="6" t="s">
        <v>96</v>
      </c>
      <c r="C82" s="6" t="s">
        <v>880</v>
      </c>
      <c r="D82" s="6" t="s">
        <v>879</v>
      </c>
    </row>
    <row r="83" customFormat="false" ht="15" hidden="false" customHeight="false" outlineLevel="0" collapsed="false">
      <c r="A83" s="6" t="n">
        <v>79</v>
      </c>
      <c r="B83" s="6" t="s">
        <v>96</v>
      </c>
      <c r="C83" s="6" t="s">
        <v>883</v>
      </c>
      <c r="D83" s="6" t="s">
        <v>882</v>
      </c>
    </row>
    <row r="84" customFormat="false" ht="15" hidden="false" customHeight="false" outlineLevel="0" collapsed="false">
      <c r="A84" s="6" t="n">
        <v>80</v>
      </c>
      <c r="B84" s="6" t="s">
        <v>96</v>
      </c>
      <c r="C84" s="6" t="s">
        <v>885</v>
      </c>
      <c r="D84" s="6" t="s">
        <v>884</v>
      </c>
    </row>
    <row r="85" customFormat="false" ht="15" hidden="false" customHeight="false" outlineLevel="0" collapsed="false">
      <c r="A85" s="6" t="n">
        <v>81</v>
      </c>
      <c r="B85" s="6" t="s">
        <v>96</v>
      </c>
      <c r="C85" s="6" t="s">
        <v>887</v>
      </c>
      <c r="D85" s="6" t="s">
        <v>886</v>
      </c>
    </row>
    <row r="86" customFormat="false" ht="15" hidden="false" customHeight="false" outlineLevel="0" collapsed="false">
      <c r="A86" s="6" t="n">
        <v>82</v>
      </c>
      <c r="B86" s="6" t="s">
        <v>96</v>
      </c>
      <c r="C86" s="6" t="s">
        <v>889</v>
      </c>
      <c r="D86" s="6" t="s">
        <v>888</v>
      </c>
    </row>
    <row r="87" customFormat="false" ht="15" hidden="false" customHeight="false" outlineLevel="0" collapsed="false">
      <c r="A87" s="6" t="n">
        <v>83</v>
      </c>
      <c r="B87" s="6" t="s">
        <v>96</v>
      </c>
      <c r="C87" s="6" t="s">
        <v>891</v>
      </c>
      <c r="D87" s="6" t="s">
        <v>890</v>
      </c>
    </row>
    <row r="88" customFormat="false" ht="15" hidden="false" customHeight="false" outlineLevel="0" collapsed="false">
      <c r="A88" s="6" t="n">
        <v>84</v>
      </c>
      <c r="B88" s="6" t="s">
        <v>96</v>
      </c>
      <c r="C88" s="6" t="s">
        <v>893</v>
      </c>
      <c r="D88" s="6" t="s">
        <v>892</v>
      </c>
    </row>
    <row r="89" customFormat="false" ht="15" hidden="false" customHeight="false" outlineLevel="0" collapsed="false">
      <c r="A89" s="6" t="n">
        <v>85</v>
      </c>
      <c r="B89" s="6" t="s">
        <v>96</v>
      </c>
      <c r="C89" s="6" t="s">
        <v>895</v>
      </c>
      <c r="D89" s="6" t="s">
        <v>894</v>
      </c>
    </row>
    <row r="90" customFormat="false" ht="15" hidden="false" customHeight="false" outlineLevel="0" collapsed="false">
      <c r="A90" s="6" t="n">
        <v>86</v>
      </c>
      <c r="B90" s="6" t="s">
        <v>96</v>
      </c>
      <c r="C90" s="6" t="s">
        <v>897</v>
      </c>
      <c r="D90" s="6" t="s">
        <v>896</v>
      </c>
    </row>
    <row r="91" customFormat="false" ht="15" hidden="false" customHeight="false" outlineLevel="0" collapsed="false">
      <c r="A91" s="6" t="n">
        <v>87</v>
      </c>
      <c r="B91" s="6" t="s">
        <v>96</v>
      </c>
      <c r="C91" s="6" t="s">
        <v>899</v>
      </c>
      <c r="D91" s="6" t="s">
        <v>898</v>
      </c>
    </row>
    <row r="92" customFormat="false" ht="15" hidden="false" customHeight="false" outlineLevel="0" collapsed="false">
      <c r="A92" s="6" t="n">
        <v>88</v>
      </c>
      <c r="B92" s="6" t="s">
        <v>96</v>
      </c>
      <c r="C92" s="6" t="s">
        <v>901</v>
      </c>
      <c r="D92" s="6" t="s">
        <v>900</v>
      </c>
    </row>
    <row r="93" customFormat="false" ht="15" hidden="false" customHeight="false" outlineLevel="0" collapsed="false">
      <c r="A93" s="6" t="n">
        <v>89</v>
      </c>
      <c r="B93" s="6" t="s">
        <v>96</v>
      </c>
      <c r="C93" s="6" t="s">
        <v>903</v>
      </c>
      <c r="D93" s="6" t="s">
        <v>902</v>
      </c>
    </row>
    <row r="94" customFormat="false" ht="15" hidden="false" customHeight="false" outlineLevel="0" collapsed="false">
      <c r="A94" s="6" t="n">
        <v>90</v>
      </c>
      <c r="B94" s="6" t="s">
        <v>96</v>
      </c>
      <c r="C94" s="6" t="s">
        <v>905</v>
      </c>
      <c r="D94" s="6" t="s">
        <v>904</v>
      </c>
    </row>
    <row r="95" customFormat="false" ht="15" hidden="false" customHeight="false" outlineLevel="0" collapsed="false">
      <c r="A95" s="6" t="n">
        <v>91</v>
      </c>
      <c r="B95" s="6" t="s">
        <v>96</v>
      </c>
      <c r="C95" s="6" t="s">
        <v>907</v>
      </c>
      <c r="D95" s="6" t="s">
        <v>906</v>
      </c>
    </row>
    <row r="96" customFormat="false" ht="15" hidden="false" customHeight="false" outlineLevel="0" collapsed="false">
      <c r="A96" s="6" t="n">
        <v>92</v>
      </c>
      <c r="B96" s="6" t="s">
        <v>96</v>
      </c>
      <c r="C96" s="6" t="s">
        <v>909</v>
      </c>
      <c r="D96" s="6" t="s">
        <v>908</v>
      </c>
    </row>
    <row r="97" customFormat="false" ht="15" hidden="false" customHeight="false" outlineLevel="0" collapsed="false">
      <c r="A97" s="6" t="n">
        <v>93</v>
      </c>
      <c r="B97" s="6" t="s">
        <v>96</v>
      </c>
      <c r="C97" s="6" t="s">
        <v>911</v>
      </c>
      <c r="D97" s="6" t="s">
        <v>910</v>
      </c>
    </row>
    <row r="98" customFormat="false" ht="15" hidden="false" customHeight="false" outlineLevel="0" collapsed="false">
      <c r="A98" s="6" t="n">
        <v>94</v>
      </c>
      <c r="B98" s="6" t="s">
        <v>96</v>
      </c>
      <c r="C98" s="6" t="s">
        <v>913</v>
      </c>
      <c r="D98" s="6" t="s">
        <v>912</v>
      </c>
    </row>
    <row r="99" customFormat="false" ht="15" hidden="false" customHeight="false" outlineLevel="0" collapsed="false">
      <c r="A99" s="6" t="n">
        <v>95</v>
      </c>
      <c r="B99" s="6" t="s">
        <v>96</v>
      </c>
      <c r="C99" s="6" t="s">
        <v>915</v>
      </c>
      <c r="D99" s="6" t="s">
        <v>914</v>
      </c>
    </row>
    <row r="100" customFormat="false" ht="15" hidden="false" customHeight="false" outlineLevel="0" collapsed="false">
      <c r="A100" s="6" t="n">
        <v>96</v>
      </c>
      <c r="B100" s="6" t="s">
        <v>96</v>
      </c>
      <c r="C100" s="6" t="s">
        <v>917</v>
      </c>
      <c r="D100" s="6" t="s">
        <v>916</v>
      </c>
    </row>
    <row r="101" customFormat="false" ht="15" hidden="false" customHeight="false" outlineLevel="0" collapsed="false">
      <c r="A101" s="6" t="n">
        <v>97</v>
      </c>
      <c r="B101" s="6" t="s">
        <v>96</v>
      </c>
      <c r="C101" s="6" t="s">
        <v>919</v>
      </c>
      <c r="D101" s="6" t="s">
        <v>918</v>
      </c>
    </row>
    <row r="102" customFormat="false" ht="15" hidden="false" customHeight="false" outlineLevel="0" collapsed="false">
      <c r="A102" s="6" t="n">
        <v>98</v>
      </c>
      <c r="B102" s="6" t="s">
        <v>96</v>
      </c>
      <c r="C102" s="6" t="s">
        <v>921</v>
      </c>
      <c r="D102" s="6" t="s">
        <v>920</v>
      </c>
    </row>
    <row r="103" customFormat="false" ht="15" hidden="false" customHeight="false" outlineLevel="0" collapsed="false">
      <c r="A103" s="6" t="n">
        <v>99</v>
      </c>
      <c r="B103" s="6" t="s">
        <v>96</v>
      </c>
      <c r="C103" s="6" t="s">
        <v>923</v>
      </c>
      <c r="D103" s="6" t="s">
        <v>922</v>
      </c>
    </row>
    <row r="104" customFormat="false" ht="15" hidden="false" customHeight="false" outlineLevel="0" collapsed="false">
      <c r="A104" s="6" t="n">
        <v>100</v>
      </c>
      <c r="B104" s="6" t="s">
        <v>96</v>
      </c>
      <c r="C104" s="6" t="s">
        <v>925</v>
      </c>
      <c r="D104" s="6" t="s">
        <v>924</v>
      </c>
    </row>
    <row r="105" customFormat="false" ht="15" hidden="false" customHeight="false" outlineLevel="0" collapsed="false">
      <c r="A105" s="6" t="n">
        <v>101</v>
      </c>
      <c r="B105" s="6" t="s">
        <v>96</v>
      </c>
      <c r="C105" s="6" t="s">
        <v>927</v>
      </c>
      <c r="D105" s="6" t="s">
        <v>926</v>
      </c>
    </row>
    <row r="106" customFormat="false" ht="15" hidden="false" customHeight="false" outlineLevel="0" collapsed="false">
      <c r="A106" s="6" t="n">
        <v>102</v>
      </c>
      <c r="B106" s="6" t="s">
        <v>96</v>
      </c>
      <c r="C106" s="6" t="s">
        <v>930</v>
      </c>
      <c r="D106" s="6" t="s">
        <v>929</v>
      </c>
    </row>
    <row r="107" customFormat="false" ht="15" hidden="false" customHeight="false" outlineLevel="0" collapsed="false">
      <c r="A107" s="6" t="n">
        <v>103</v>
      </c>
      <c r="B107" s="6" t="s">
        <v>96</v>
      </c>
      <c r="C107" s="6" t="s">
        <v>932</v>
      </c>
      <c r="D107" s="6" t="s">
        <v>931</v>
      </c>
    </row>
    <row r="108" customFormat="false" ht="15" hidden="false" customHeight="false" outlineLevel="0" collapsed="false">
      <c r="A108" s="6" t="n">
        <v>104</v>
      </c>
      <c r="B108" s="6" t="s">
        <v>96</v>
      </c>
      <c r="C108" s="6" t="s">
        <v>935</v>
      </c>
      <c r="D108" s="6" t="s">
        <v>934</v>
      </c>
    </row>
    <row r="109" customFormat="false" ht="15" hidden="false" customHeight="false" outlineLevel="0" collapsed="false">
      <c r="A109" s="6" t="n">
        <v>105</v>
      </c>
      <c r="B109" s="6" t="s">
        <v>411</v>
      </c>
      <c r="C109" s="6" t="s">
        <v>938</v>
      </c>
      <c r="D109" s="6" t="s">
        <v>937</v>
      </c>
    </row>
    <row r="110" customFormat="false" ht="15" hidden="false" customHeight="false" outlineLevel="0" collapsed="false">
      <c r="A110" s="6" t="n">
        <v>106</v>
      </c>
      <c r="B110" s="6" t="s">
        <v>411</v>
      </c>
      <c r="C110" s="6" t="s">
        <v>941</v>
      </c>
      <c r="D110" s="6" t="s">
        <v>940</v>
      </c>
    </row>
    <row r="111" customFormat="false" ht="15" hidden="false" customHeight="false" outlineLevel="0" collapsed="false">
      <c r="A111" s="6" t="n">
        <v>107</v>
      </c>
      <c r="B111" s="6" t="s">
        <v>411</v>
      </c>
      <c r="C111" s="6" t="s">
        <v>944</v>
      </c>
      <c r="D111" s="6" t="s">
        <v>943</v>
      </c>
    </row>
    <row r="112" customFormat="false" ht="15" hidden="false" customHeight="false" outlineLevel="0" collapsed="false">
      <c r="A112" s="6" t="n">
        <v>108</v>
      </c>
      <c r="B112" s="6" t="s">
        <v>411</v>
      </c>
      <c r="C112" s="6" t="s">
        <v>947</v>
      </c>
      <c r="D112" s="6" t="s">
        <v>946</v>
      </c>
    </row>
    <row r="113" customFormat="false" ht="15" hidden="false" customHeight="false" outlineLevel="0" collapsed="false">
      <c r="A113" s="6" t="n">
        <v>109</v>
      </c>
      <c r="B113" s="6" t="s">
        <v>411</v>
      </c>
      <c r="C113" s="6" t="s">
        <v>950</v>
      </c>
      <c r="D113" s="6" t="s">
        <v>949</v>
      </c>
    </row>
    <row r="114" customFormat="false" ht="15" hidden="false" customHeight="false" outlineLevel="0" collapsed="false">
      <c r="A114" s="6" t="n">
        <v>110</v>
      </c>
      <c r="B114" s="6" t="s">
        <v>411</v>
      </c>
      <c r="C114" s="6" t="s">
        <v>953</v>
      </c>
      <c r="D114" s="6" t="s">
        <v>952</v>
      </c>
    </row>
    <row r="115" customFormat="false" ht="22.35" hidden="false" customHeight="false" outlineLevel="0" collapsed="false">
      <c r="A115" s="6" t="n">
        <v>111</v>
      </c>
      <c r="B115" s="6" t="s">
        <v>411</v>
      </c>
      <c r="C115" s="6" t="s">
        <v>2253</v>
      </c>
      <c r="D115" s="6" t="s">
        <v>2254</v>
      </c>
    </row>
    <row r="116" customFormat="false" ht="15" hidden="false" customHeight="false" outlineLevel="0" collapsed="false">
      <c r="A116" s="6" t="n">
        <v>112</v>
      </c>
      <c r="B116" s="6" t="s">
        <v>411</v>
      </c>
      <c r="C116" s="6" t="s">
        <v>956</v>
      </c>
      <c r="D116" s="6" t="s">
        <v>955</v>
      </c>
    </row>
    <row r="117" customFormat="false" ht="15" hidden="false" customHeight="false" outlineLevel="0" collapsed="false">
      <c r="A117" s="6" t="n">
        <v>113</v>
      </c>
      <c r="B117" s="6" t="s">
        <v>411</v>
      </c>
      <c r="C117" s="6" t="s">
        <v>959</v>
      </c>
      <c r="D117" s="6" t="s">
        <v>958</v>
      </c>
    </row>
    <row r="118" customFormat="false" ht="15" hidden="false" customHeight="false" outlineLevel="0" collapsed="false">
      <c r="A118" s="6" t="n">
        <v>114</v>
      </c>
      <c r="B118" s="6" t="s">
        <v>411</v>
      </c>
      <c r="C118" s="6" t="s">
        <v>962</v>
      </c>
      <c r="D118" s="6" t="s">
        <v>961</v>
      </c>
    </row>
    <row r="119" customFormat="false" ht="22.35" hidden="false" customHeight="false" outlineLevel="0" collapsed="false">
      <c r="A119" s="6" t="n">
        <v>115</v>
      </c>
      <c r="B119" s="6" t="s">
        <v>411</v>
      </c>
      <c r="C119" s="6" t="s">
        <v>965</v>
      </c>
      <c r="D119" s="6" t="s">
        <v>964</v>
      </c>
    </row>
    <row r="120" customFormat="false" ht="15" hidden="false" customHeight="false" outlineLevel="0" collapsed="false">
      <c r="A120" s="6" t="n">
        <v>116</v>
      </c>
      <c r="B120" s="6" t="s">
        <v>411</v>
      </c>
      <c r="C120" s="6" t="s">
        <v>968</v>
      </c>
      <c r="D120" s="6" t="s">
        <v>967</v>
      </c>
    </row>
    <row r="121" customFormat="false" ht="15" hidden="false" customHeight="false" outlineLevel="0" collapsed="false">
      <c r="A121" s="6" t="n">
        <v>117</v>
      </c>
      <c r="B121" s="6" t="s">
        <v>411</v>
      </c>
      <c r="C121" s="6" t="s">
        <v>971</v>
      </c>
      <c r="D121" s="6" t="s">
        <v>970</v>
      </c>
    </row>
    <row r="122" customFormat="false" ht="15" hidden="false" customHeight="false" outlineLevel="0" collapsed="false">
      <c r="A122" s="6" t="n">
        <v>118</v>
      </c>
      <c r="B122" s="6" t="s">
        <v>411</v>
      </c>
      <c r="C122" s="6" t="s">
        <v>974</v>
      </c>
      <c r="D122" s="6" t="s">
        <v>973</v>
      </c>
    </row>
    <row r="123" customFormat="false" ht="15" hidden="false" customHeight="false" outlineLevel="0" collapsed="false">
      <c r="A123" s="6" t="n">
        <v>119</v>
      </c>
      <c r="B123" s="6" t="s">
        <v>411</v>
      </c>
      <c r="C123" s="6" t="s">
        <v>977</v>
      </c>
      <c r="D123" s="6" t="s">
        <v>976</v>
      </c>
    </row>
    <row r="124" customFormat="false" ht="15" hidden="false" customHeight="false" outlineLevel="0" collapsed="false">
      <c r="A124" s="6" t="n">
        <v>120</v>
      </c>
      <c r="B124" s="6" t="s">
        <v>411</v>
      </c>
      <c r="C124" s="6" t="s">
        <v>980</v>
      </c>
      <c r="D124" s="6" t="s">
        <v>979</v>
      </c>
    </row>
    <row r="125" customFormat="false" ht="15" hidden="false" customHeight="false" outlineLevel="0" collapsed="false">
      <c r="A125" s="6" t="n">
        <v>121</v>
      </c>
      <c r="B125" s="6" t="s">
        <v>411</v>
      </c>
      <c r="C125" s="6" t="s">
        <v>983</v>
      </c>
      <c r="D125" s="6" t="s">
        <v>982</v>
      </c>
    </row>
    <row r="126" customFormat="false" ht="15" hidden="false" customHeight="false" outlineLevel="0" collapsed="false">
      <c r="A126" s="6" t="n">
        <v>122</v>
      </c>
      <c r="B126" s="6" t="s">
        <v>411</v>
      </c>
      <c r="C126" s="6" t="s">
        <v>986</v>
      </c>
      <c r="D126" s="6" t="s">
        <v>985</v>
      </c>
    </row>
    <row r="127" customFormat="false" ht="22.35" hidden="false" customHeight="false" outlineLevel="0" collapsed="false">
      <c r="A127" s="6" t="n">
        <v>123</v>
      </c>
      <c r="B127" s="6" t="s">
        <v>411</v>
      </c>
      <c r="C127" s="6" t="s">
        <v>2256</v>
      </c>
      <c r="D127" s="6" t="s">
        <v>2254</v>
      </c>
    </row>
    <row r="128" customFormat="false" ht="15" hidden="false" customHeight="false" outlineLevel="0" collapsed="false">
      <c r="A128" s="6" t="n">
        <v>124</v>
      </c>
      <c r="B128" s="6" t="s">
        <v>411</v>
      </c>
      <c r="C128" s="6" t="s">
        <v>989</v>
      </c>
      <c r="D128" s="6" t="s">
        <v>988</v>
      </c>
    </row>
    <row r="129" customFormat="false" ht="15" hidden="false" customHeight="false" outlineLevel="0" collapsed="false">
      <c r="A129" s="6" t="n">
        <v>125</v>
      </c>
      <c r="B129" s="6" t="s">
        <v>411</v>
      </c>
      <c r="C129" s="6" t="s">
        <v>992</v>
      </c>
      <c r="D129" s="6" t="s">
        <v>991</v>
      </c>
    </row>
    <row r="130" customFormat="false" ht="15" hidden="false" customHeight="false" outlineLevel="0" collapsed="false">
      <c r="A130" s="6" t="n">
        <v>126</v>
      </c>
      <c r="B130" s="6" t="s">
        <v>411</v>
      </c>
      <c r="C130" s="6" t="s">
        <v>995</v>
      </c>
      <c r="D130" s="6" t="s">
        <v>994</v>
      </c>
    </row>
    <row r="131" customFormat="false" ht="15" hidden="false" customHeight="false" outlineLevel="0" collapsed="false">
      <c r="A131" s="6" t="n">
        <v>127</v>
      </c>
      <c r="B131" s="6" t="s">
        <v>411</v>
      </c>
      <c r="C131" s="6" t="s">
        <v>998</v>
      </c>
      <c r="D131" s="6" t="s">
        <v>997</v>
      </c>
    </row>
    <row r="132" customFormat="false" ht="15" hidden="false" customHeight="false" outlineLevel="0" collapsed="false">
      <c r="A132" s="6" t="n">
        <v>128</v>
      </c>
      <c r="B132" s="6" t="s">
        <v>411</v>
      </c>
      <c r="C132" s="6" t="s">
        <v>1001</v>
      </c>
      <c r="D132" s="6" t="s">
        <v>1000</v>
      </c>
    </row>
    <row r="133" customFormat="false" ht="15" hidden="false" customHeight="false" outlineLevel="0" collapsed="false">
      <c r="A133" s="6" t="n">
        <v>129</v>
      </c>
      <c r="B133" s="6" t="s">
        <v>411</v>
      </c>
      <c r="C133" s="6" t="s">
        <v>1004</v>
      </c>
      <c r="D133" s="6" t="s">
        <v>1003</v>
      </c>
    </row>
    <row r="134" customFormat="false" ht="15" hidden="false" customHeight="false" outlineLevel="0" collapsed="false">
      <c r="A134" s="6" t="n">
        <v>130</v>
      </c>
      <c r="B134" s="6" t="s">
        <v>411</v>
      </c>
      <c r="C134" s="6" t="s">
        <v>1007</v>
      </c>
      <c r="D134" s="6" t="s">
        <v>1006</v>
      </c>
    </row>
    <row r="135" customFormat="false" ht="15" hidden="false" customHeight="false" outlineLevel="0" collapsed="false">
      <c r="A135" s="6" t="n">
        <v>131</v>
      </c>
      <c r="B135" s="6" t="s">
        <v>411</v>
      </c>
      <c r="C135" s="6" t="s">
        <v>689</v>
      </c>
      <c r="D135" s="6" t="s">
        <v>688</v>
      </c>
    </row>
    <row r="136" customFormat="false" ht="15" hidden="false" customHeight="false" outlineLevel="0" collapsed="false">
      <c r="A136" s="6" t="n">
        <v>132</v>
      </c>
      <c r="B136" s="6" t="s">
        <v>411</v>
      </c>
      <c r="C136" s="6" t="s">
        <v>1010</v>
      </c>
      <c r="D136" s="6" t="s">
        <v>1009</v>
      </c>
    </row>
    <row r="137" customFormat="false" ht="15" hidden="false" customHeight="false" outlineLevel="0" collapsed="false">
      <c r="A137" s="6" t="n">
        <v>133</v>
      </c>
      <c r="B137" s="6" t="s">
        <v>411</v>
      </c>
      <c r="C137" s="6" t="s">
        <v>1013</v>
      </c>
      <c r="D137" s="6" t="s">
        <v>1012</v>
      </c>
    </row>
    <row r="138" customFormat="false" ht="15" hidden="false" customHeight="false" outlineLevel="0" collapsed="false">
      <c r="A138" s="6" t="n">
        <v>134</v>
      </c>
      <c r="B138" s="6" t="s">
        <v>411</v>
      </c>
      <c r="C138" s="6" t="s">
        <v>694</v>
      </c>
      <c r="D138" s="6" t="s">
        <v>693</v>
      </c>
    </row>
    <row r="139" customFormat="false" ht="15" hidden="false" customHeight="false" outlineLevel="0" collapsed="false">
      <c r="A139" s="6" t="n">
        <v>135</v>
      </c>
      <c r="B139" s="6" t="s">
        <v>411</v>
      </c>
      <c r="C139" s="6" t="s">
        <v>1016</v>
      </c>
      <c r="D139" s="6" t="s">
        <v>1015</v>
      </c>
    </row>
    <row r="140" customFormat="false" ht="15" hidden="false" customHeight="false" outlineLevel="0" collapsed="false">
      <c r="A140" s="6" t="n">
        <v>136</v>
      </c>
      <c r="B140" s="6" t="s">
        <v>411</v>
      </c>
      <c r="C140" s="6" t="s">
        <v>1019</v>
      </c>
      <c r="D140" s="6" t="s">
        <v>1018</v>
      </c>
    </row>
    <row r="141" customFormat="false" ht="15" hidden="false" customHeight="false" outlineLevel="0" collapsed="false">
      <c r="A141" s="6" t="n">
        <v>137</v>
      </c>
      <c r="B141" s="6" t="s">
        <v>411</v>
      </c>
      <c r="C141" s="6" t="s">
        <v>1022</v>
      </c>
      <c r="D141" s="6" t="s">
        <v>1021</v>
      </c>
    </row>
    <row r="142" customFormat="false" ht="15" hidden="false" customHeight="false" outlineLevel="0" collapsed="false">
      <c r="A142" s="6" t="n">
        <v>138</v>
      </c>
      <c r="B142" s="6" t="s">
        <v>411</v>
      </c>
      <c r="C142" s="6" t="s">
        <v>1027</v>
      </c>
      <c r="D142" s="6" t="s">
        <v>1026</v>
      </c>
    </row>
    <row r="143" customFormat="false" ht="15" hidden="false" customHeight="false" outlineLevel="0" collapsed="false">
      <c r="A143" s="6" t="n">
        <v>139</v>
      </c>
      <c r="B143" s="6" t="s">
        <v>411</v>
      </c>
      <c r="C143" s="6" t="s">
        <v>1030</v>
      </c>
      <c r="D143" s="6" t="s">
        <v>1029</v>
      </c>
    </row>
    <row r="144" customFormat="false" ht="15" hidden="false" customHeight="false" outlineLevel="0" collapsed="false">
      <c r="A144" s="6" t="n">
        <v>140</v>
      </c>
      <c r="B144" s="6" t="s">
        <v>411</v>
      </c>
      <c r="C144" s="6" t="s">
        <v>1033</v>
      </c>
      <c r="D144" s="6" t="s">
        <v>1032</v>
      </c>
    </row>
    <row r="145" customFormat="false" ht="15" hidden="false" customHeight="false" outlineLevel="0" collapsed="false">
      <c r="A145" s="6" t="n">
        <v>141</v>
      </c>
      <c r="B145" s="6" t="s">
        <v>411</v>
      </c>
      <c r="C145" s="6" t="s">
        <v>701</v>
      </c>
      <c r="D145" s="6" t="s">
        <v>700</v>
      </c>
    </row>
    <row r="146" customFormat="false" ht="15" hidden="false" customHeight="false" outlineLevel="0" collapsed="false">
      <c r="A146" s="6" t="n">
        <v>142</v>
      </c>
      <c r="B146" s="6" t="s">
        <v>411</v>
      </c>
      <c r="C146" s="6" t="s">
        <v>1036</v>
      </c>
      <c r="D146" s="6" t="s">
        <v>1035</v>
      </c>
    </row>
    <row r="147" customFormat="false" ht="15" hidden="false" customHeight="false" outlineLevel="0" collapsed="false">
      <c r="A147" s="6" t="n">
        <v>143</v>
      </c>
      <c r="B147" s="6" t="s">
        <v>411</v>
      </c>
      <c r="C147" s="6" t="s">
        <v>704</v>
      </c>
      <c r="D147" s="6" t="s">
        <v>703</v>
      </c>
    </row>
    <row r="148" customFormat="false" ht="15" hidden="false" customHeight="false" outlineLevel="0" collapsed="false">
      <c r="A148" s="6" t="n">
        <v>144</v>
      </c>
      <c r="B148" s="6" t="s">
        <v>411</v>
      </c>
      <c r="C148" s="6" t="s">
        <v>1039</v>
      </c>
      <c r="D148" s="6" t="s">
        <v>1038</v>
      </c>
    </row>
    <row r="149" customFormat="false" ht="15" hidden="false" customHeight="false" outlineLevel="0" collapsed="false">
      <c r="A149" s="6" t="n">
        <v>145</v>
      </c>
      <c r="B149" s="6" t="s">
        <v>411</v>
      </c>
      <c r="C149" s="6" t="s">
        <v>1042</v>
      </c>
      <c r="D149" s="6" t="s">
        <v>1041</v>
      </c>
    </row>
    <row r="150" customFormat="false" ht="15" hidden="false" customHeight="false" outlineLevel="0" collapsed="false">
      <c r="A150" s="6" t="n">
        <v>146</v>
      </c>
      <c r="B150" s="6" t="s">
        <v>411</v>
      </c>
      <c r="C150" s="6" t="s">
        <v>707</v>
      </c>
      <c r="D150" s="6" t="s">
        <v>706</v>
      </c>
    </row>
    <row r="151" customFormat="false" ht="15" hidden="false" customHeight="false" outlineLevel="0" collapsed="false">
      <c r="A151" s="6" t="n">
        <v>147</v>
      </c>
      <c r="B151" s="6" t="s">
        <v>411</v>
      </c>
      <c r="C151" s="6" t="s">
        <v>1045</v>
      </c>
      <c r="D151" s="6" t="s">
        <v>1044</v>
      </c>
    </row>
    <row r="152" customFormat="false" ht="22.35" hidden="false" customHeight="false" outlineLevel="0" collapsed="false">
      <c r="A152" s="6" t="n">
        <v>148</v>
      </c>
      <c r="B152" s="6" t="s">
        <v>411</v>
      </c>
      <c r="C152" s="6" t="s">
        <v>1048</v>
      </c>
      <c r="D152" s="6" t="s">
        <v>1047</v>
      </c>
    </row>
    <row r="153" customFormat="false" ht="15" hidden="false" customHeight="false" outlineLevel="0" collapsed="false">
      <c r="A153" s="6" t="n">
        <v>149</v>
      </c>
      <c r="B153" s="6" t="s">
        <v>411</v>
      </c>
      <c r="C153" s="6" t="s">
        <v>1051</v>
      </c>
      <c r="D153" s="6" t="s">
        <v>1050</v>
      </c>
    </row>
    <row r="154" customFormat="false" ht="22.35" hidden="false" customHeight="false" outlineLevel="0" collapsed="false">
      <c r="A154" s="6" t="n">
        <v>150</v>
      </c>
      <c r="B154" s="6" t="s">
        <v>411</v>
      </c>
      <c r="C154" s="6" t="s">
        <v>1054</v>
      </c>
      <c r="D154" s="6" t="s">
        <v>1053</v>
      </c>
    </row>
    <row r="155" customFormat="false" ht="15" hidden="false" customHeight="false" outlineLevel="0" collapsed="false">
      <c r="A155" s="6" t="n">
        <v>151</v>
      </c>
      <c r="B155" s="6" t="s">
        <v>411</v>
      </c>
      <c r="C155" s="6" t="s">
        <v>1057</v>
      </c>
      <c r="D155" s="6" t="s">
        <v>1056</v>
      </c>
    </row>
    <row r="156" customFormat="false" ht="15" hidden="false" customHeight="false" outlineLevel="0" collapsed="false">
      <c r="A156" s="6" t="n">
        <v>152</v>
      </c>
      <c r="B156" s="6" t="s">
        <v>411</v>
      </c>
      <c r="C156" s="6" t="s">
        <v>1060</v>
      </c>
      <c r="D156" s="6" t="s">
        <v>1059</v>
      </c>
    </row>
    <row r="157" customFormat="false" ht="22.35" hidden="false" customHeight="false" outlineLevel="0" collapsed="false">
      <c r="A157" s="6" t="n">
        <v>153</v>
      </c>
      <c r="B157" s="6" t="s">
        <v>411</v>
      </c>
      <c r="C157" s="6" t="s">
        <v>2257</v>
      </c>
      <c r="D157" s="6" t="s">
        <v>2254</v>
      </c>
    </row>
    <row r="158" customFormat="false" ht="22.35" hidden="false" customHeight="false" outlineLevel="0" collapsed="false">
      <c r="A158" s="6" t="n">
        <v>154</v>
      </c>
      <c r="B158" s="6" t="s">
        <v>411</v>
      </c>
      <c r="C158" s="6" t="s">
        <v>1063</v>
      </c>
      <c r="D158" s="6" t="s">
        <v>1062</v>
      </c>
    </row>
    <row r="159" customFormat="false" ht="15" hidden="false" customHeight="false" outlineLevel="0" collapsed="false">
      <c r="A159" s="6" t="n">
        <v>155</v>
      </c>
      <c r="B159" s="6" t="s">
        <v>411</v>
      </c>
      <c r="C159" s="6" t="s">
        <v>1066</v>
      </c>
      <c r="D159" s="6" t="s">
        <v>1065</v>
      </c>
    </row>
    <row r="160" customFormat="false" ht="22.35" hidden="false" customHeight="false" outlineLevel="0" collapsed="false">
      <c r="A160" s="6" t="n">
        <v>156</v>
      </c>
      <c r="B160" s="6" t="s">
        <v>411</v>
      </c>
      <c r="C160" s="6" t="s">
        <v>2258</v>
      </c>
      <c r="D160" s="6" t="s">
        <v>2254</v>
      </c>
    </row>
    <row r="161" customFormat="false" ht="22.35" hidden="false" customHeight="false" outlineLevel="0" collapsed="false">
      <c r="A161" s="6" t="n">
        <v>157</v>
      </c>
      <c r="B161" s="6" t="s">
        <v>411</v>
      </c>
      <c r="C161" s="6" t="s">
        <v>1069</v>
      </c>
      <c r="D161" s="6" t="s">
        <v>1068</v>
      </c>
    </row>
    <row r="162" customFormat="false" ht="15" hidden="false" customHeight="false" outlineLevel="0" collapsed="false">
      <c r="A162" s="6" t="n">
        <v>158</v>
      </c>
      <c r="B162" s="6" t="s">
        <v>411</v>
      </c>
      <c r="C162" s="6" t="s">
        <v>1072</v>
      </c>
      <c r="D162" s="6" t="s">
        <v>1071</v>
      </c>
    </row>
    <row r="163" customFormat="false" ht="15" hidden="false" customHeight="false" outlineLevel="0" collapsed="false">
      <c r="A163" s="6" t="n">
        <v>159</v>
      </c>
      <c r="B163" s="6" t="s">
        <v>411</v>
      </c>
      <c r="C163" s="6" t="s">
        <v>1075</v>
      </c>
      <c r="D163" s="6" t="s">
        <v>1074</v>
      </c>
    </row>
    <row r="164" customFormat="false" ht="15" hidden="false" customHeight="false" outlineLevel="0" collapsed="false">
      <c r="A164" s="6" t="n">
        <v>160</v>
      </c>
      <c r="B164" s="6" t="s">
        <v>411</v>
      </c>
      <c r="C164" s="6" t="s">
        <v>1078</v>
      </c>
      <c r="D164" s="6" t="s">
        <v>1077</v>
      </c>
    </row>
    <row r="165" customFormat="false" ht="15" hidden="false" customHeight="false" outlineLevel="0" collapsed="false">
      <c r="A165" s="6" t="n">
        <v>161</v>
      </c>
      <c r="B165" s="6" t="s">
        <v>411</v>
      </c>
      <c r="C165" s="6" t="s">
        <v>1081</v>
      </c>
      <c r="D165" s="6" t="s">
        <v>1080</v>
      </c>
    </row>
    <row r="166" customFormat="false" ht="15" hidden="false" customHeight="false" outlineLevel="0" collapsed="false">
      <c r="A166" s="6" t="n">
        <v>162</v>
      </c>
      <c r="B166" s="6" t="s">
        <v>411</v>
      </c>
      <c r="C166" s="6" t="s">
        <v>1084</v>
      </c>
      <c r="D166" s="6" t="s">
        <v>1083</v>
      </c>
    </row>
    <row r="167" customFormat="false" ht="15" hidden="false" customHeight="false" outlineLevel="0" collapsed="false">
      <c r="A167" s="6" t="n">
        <v>163</v>
      </c>
      <c r="B167" s="6" t="s">
        <v>411</v>
      </c>
      <c r="C167" s="6" t="s">
        <v>1087</v>
      </c>
      <c r="D167" s="6" t="s">
        <v>1086</v>
      </c>
    </row>
    <row r="168" customFormat="false" ht="15" hidden="false" customHeight="false" outlineLevel="0" collapsed="false">
      <c r="A168" s="6" t="n">
        <v>164</v>
      </c>
      <c r="B168" s="6" t="s">
        <v>411</v>
      </c>
      <c r="C168" s="6" t="s">
        <v>710</v>
      </c>
      <c r="D168" s="6" t="s">
        <v>709</v>
      </c>
    </row>
    <row r="169" customFormat="false" ht="15" hidden="false" customHeight="false" outlineLevel="0" collapsed="false">
      <c r="A169" s="6" t="n">
        <v>165</v>
      </c>
      <c r="B169" s="6" t="s">
        <v>411</v>
      </c>
      <c r="C169" s="6" t="s">
        <v>1090</v>
      </c>
      <c r="D169" s="6" t="s">
        <v>1089</v>
      </c>
    </row>
    <row r="170" customFormat="false" ht="22.35" hidden="false" customHeight="false" outlineLevel="0" collapsed="false">
      <c r="A170" s="6" t="n">
        <v>166</v>
      </c>
      <c r="B170" s="6" t="s">
        <v>411</v>
      </c>
      <c r="C170" s="6" t="s">
        <v>2259</v>
      </c>
      <c r="D170" s="6" t="s">
        <v>2254</v>
      </c>
    </row>
    <row r="171" customFormat="false" ht="15" hidden="false" customHeight="false" outlineLevel="0" collapsed="false">
      <c r="A171" s="6" t="n">
        <v>167</v>
      </c>
      <c r="B171" s="6" t="s">
        <v>411</v>
      </c>
      <c r="C171" s="6" t="s">
        <v>1093</v>
      </c>
      <c r="D171" s="6" t="s">
        <v>1092</v>
      </c>
    </row>
    <row r="172" customFormat="false" ht="15" hidden="false" customHeight="false" outlineLevel="0" collapsed="false">
      <c r="A172" s="6" t="n">
        <v>168</v>
      </c>
      <c r="B172" s="6" t="s">
        <v>411</v>
      </c>
      <c r="C172" s="6" t="s">
        <v>1096</v>
      </c>
      <c r="D172" s="6" t="s">
        <v>1095</v>
      </c>
    </row>
    <row r="173" customFormat="false" ht="15" hidden="false" customHeight="false" outlineLevel="0" collapsed="false">
      <c r="A173" s="6" t="n">
        <v>169</v>
      </c>
      <c r="B173" s="6" t="s">
        <v>411</v>
      </c>
      <c r="C173" s="6" t="s">
        <v>1099</v>
      </c>
      <c r="D173" s="6" t="s">
        <v>1098</v>
      </c>
    </row>
    <row r="174" customFormat="false" ht="15" hidden="false" customHeight="false" outlineLevel="0" collapsed="false">
      <c r="A174" s="6" t="n">
        <v>170</v>
      </c>
      <c r="B174" s="6" t="s">
        <v>411</v>
      </c>
      <c r="C174" s="6" t="s">
        <v>1102</v>
      </c>
      <c r="D174" s="6" t="s">
        <v>1101</v>
      </c>
    </row>
    <row r="175" customFormat="false" ht="15" hidden="false" customHeight="false" outlineLevel="0" collapsed="false">
      <c r="A175" s="6" t="n">
        <v>171</v>
      </c>
      <c r="B175" s="6" t="s">
        <v>411</v>
      </c>
      <c r="C175" s="6" t="s">
        <v>1105</v>
      </c>
      <c r="D175" s="6" t="s">
        <v>1104</v>
      </c>
    </row>
    <row r="176" customFormat="false" ht="15" hidden="false" customHeight="false" outlineLevel="0" collapsed="false">
      <c r="A176" s="6" t="n">
        <v>172</v>
      </c>
      <c r="B176" s="6" t="s">
        <v>411</v>
      </c>
      <c r="C176" s="6" t="s">
        <v>1108</v>
      </c>
      <c r="D176" s="6" t="s">
        <v>1107</v>
      </c>
    </row>
    <row r="177" customFormat="false" ht="15" hidden="false" customHeight="false" outlineLevel="0" collapsed="false">
      <c r="A177" s="6" t="n">
        <v>173</v>
      </c>
      <c r="B177" s="6" t="s">
        <v>411</v>
      </c>
      <c r="C177" s="6" t="s">
        <v>1111</v>
      </c>
      <c r="D177" s="6" t="s">
        <v>1110</v>
      </c>
    </row>
    <row r="178" customFormat="false" ht="15" hidden="false" customHeight="false" outlineLevel="0" collapsed="false">
      <c r="A178" s="6" t="n">
        <v>174</v>
      </c>
      <c r="B178" s="6" t="s">
        <v>411</v>
      </c>
      <c r="C178" s="6" t="s">
        <v>1114</v>
      </c>
      <c r="D178" s="6" t="s">
        <v>1113</v>
      </c>
    </row>
    <row r="179" customFormat="false" ht="15" hidden="false" customHeight="false" outlineLevel="0" collapsed="false">
      <c r="A179" s="6" t="n">
        <v>175</v>
      </c>
      <c r="B179" s="6" t="s">
        <v>411</v>
      </c>
      <c r="C179" s="6" t="s">
        <v>1117</v>
      </c>
      <c r="D179" s="6" t="s">
        <v>1116</v>
      </c>
    </row>
    <row r="180" customFormat="false" ht="15" hidden="false" customHeight="false" outlineLevel="0" collapsed="false">
      <c r="A180" s="6" t="n">
        <v>176</v>
      </c>
      <c r="B180" s="6" t="s">
        <v>411</v>
      </c>
      <c r="C180" s="6" t="s">
        <v>1120</v>
      </c>
      <c r="D180" s="6" t="s">
        <v>1119</v>
      </c>
    </row>
    <row r="181" customFormat="false" ht="15" hidden="false" customHeight="false" outlineLevel="0" collapsed="false">
      <c r="A181" s="6" t="n">
        <v>177</v>
      </c>
      <c r="B181" s="6" t="s">
        <v>411</v>
      </c>
      <c r="C181" s="6" t="s">
        <v>1123</v>
      </c>
      <c r="D181" s="6" t="s">
        <v>1122</v>
      </c>
    </row>
    <row r="182" customFormat="false" ht="15" hidden="false" customHeight="false" outlineLevel="0" collapsed="false">
      <c r="A182" s="6" t="n">
        <v>178</v>
      </c>
      <c r="B182" s="6" t="s">
        <v>411</v>
      </c>
      <c r="C182" s="6" t="s">
        <v>1126</v>
      </c>
      <c r="D182" s="6" t="s">
        <v>1125</v>
      </c>
    </row>
    <row r="183" customFormat="false" ht="15" hidden="false" customHeight="false" outlineLevel="0" collapsed="false">
      <c r="A183" s="6" t="n">
        <v>179</v>
      </c>
      <c r="B183" s="6" t="s">
        <v>411</v>
      </c>
      <c r="C183" s="6" t="s">
        <v>1129</v>
      </c>
      <c r="D183" s="6" t="s">
        <v>1128</v>
      </c>
    </row>
    <row r="184" customFormat="false" ht="15" hidden="false" customHeight="false" outlineLevel="0" collapsed="false">
      <c r="A184" s="6" t="n">
        <v>180</v>
      </c>
      <c r="B184" s="6" t="s">
        <v>411</v>
      </c>
      <c r="C184" s="6" t="s">
        <v>1132</v>
      </c>
      <c r="D184" s="6" t="s">
        <v>1131</v>
      </c>
    </row>
    <row r="185" customFormat="false" ht="15" hidden="false" customHeight="false" outlineLevel="0" collapsed="false">
      <c r="A185" s="6" t="n">
        <v>181</v>
      </c>
      <c r="B185" s="6" t="s">
        <v>411</v>
      </c>
      <c r="C185" s="6" t="s">
        <v>1138</v>
      </c>
      <c r="D185" s="6" t="s">
        <v>1137</v>
      </c>
    </row>
    <row r="186" customFormat="false" ht="15" hidden="false" customHeight="false" outlineLevel="0" collapsed="false">
      <c r="A186" s="6" t="n">
        <v>182</v>
      </c>
      <c r="B186" s="6" t="s">
        <v>411</v>
      </c>
      <c r="C186" s="6" t="s">
        <v>1141</v>
      </c>
      <c r="D186" s="6" t="s">
        <v>1140</v>
      </c>
    </row>
    <row r="187" customFormat="false" ht="15" hidden="false" customHeight="false" outlineLevel="0" collapsed="false">
      <c r="A187" s="6" t="n">
        <v>183</v>
      </c>
      <c r="B187" s="6" t="s">
        <v>411</v>
      </c>
      <c r="C187" s="6" t="s">
        <v>1144</v>
      </c>
      <c r="D187" s="6" t="s">
        <v>1143</v>
      </c>
    </row>
    <row r="188" customFormat="false" ht="15" hidden="false" customHeight="false" outlineLevel="0" collapsed="false">
      <c r="A188" s="6" t="n">
        <v>184</v>
      </c>
      <c r="B188" s="6" t="s">
        <v>411</v>
      </c>
      <c r="C188" s="6" t="s">
        <v>1147</v>
      </c>
      <c r="D188" s="6" t="s">
        <v>1146</v>
      </c>
    </row>
    <row r="189" customFormat="false" ht="15" hidden="false" customHeight="false" outlineLevel="0" collapsed="false">
      <c r="A189" s="6" t="n">
        <v>185</v>
      </c>
      <c r="B189" s="6" t="s">
        <v>411</v>
      </c>
      <c r="C189" s="6" t="s">
        <v>1150</v>
      </c>
      <c r="D189" s="6" t="s">
        <v>1149</v>
      </c>
    </row>
    <row r="190" customFormat="false" ht="15" hidden="false" customHeight="false" outlineLevel="0" collapsed="false">
      <c r="A190" s="6" t="n">
        <v>186</v>
      </c>
      <c r="B190" s="6" t="s">
        <v>411</v>
      </c>
      <c r="C190" s="6" t="s">
        <v>1153</v>
      </c>
      <c r="D190" s="6" t="s">
        <v>1152</v>
      </c>
    </row>
    <row r="191" customFormat="false" ht="15" hidden="false" customHeight="false" outlineLevel="0" collapsed="false">
      <c r="A191" s="6" t="n">
        <v>187</v>
      </c>
      <c r="B191" s="6" t="s">
        <v>411</v>
      </c>
      <c r="C191" s="6" t="s">
        <v>1156</v>
      </c>
      <c r="D191" s="6" t="s">
        <v>1155</v>
      </c>
    </row>
    <row r="192" customFormat="false" ht="15" hidden="false" customHeight="false" outlineLevel="0" collapsed="false">
      <c r="A192" s="6" t="n">
        <v>188</v>
      </c>
      <c r="B192" s="6" t="s">
        <v>411</v>
      </c>
      <c r="C192" s="6" t="s">
        <v>1159</v>
      </c>
      <c r="D192" s="6" t="s">
        <v>1158</v>
      </c>
    </row>
    <row r="193" customFormat="false" ht="15" hidden="false" customHeight="false" outlineLevel="0" collapsed="false">
      <c r="A193" s="6" t="n">
        <v>189</v>
      </c>
      <c r="B193" s="6" t="s">
        <v>411</v>
      </c>
      <c r="C193" s="6" t="s">
        <v>1162</v>
      </c>
      <c r="D193" s="6" t="s">
        <v>1161</v>
      </c>
    </row>
    <row r="194" customFormat="false" ht="15" hidden="false" customHeight="false" outlineLevel="0" collapsed="false">
      <c r="A194" s="6" t="n">
        <v>190</v>
      </c>
      <c r="B194" s="6" t="s">
        <v>411</v>
      </c>
      <c r="C194" s="6" t="s">
        <v>1165</v>
      </c>
      <c r="D194" s="6" t="s">
        <v>1164</v>
      </c>
    </row>
    <row r="195" customFormat="false" ht="15" hidden="false" customHeight="false" outlineLevel="0" collapsed="false">
      <c r="A195" s="6" t="n">
        <v>191</v>
      </c>
      <c r="B195" s="6" t="s">
        <v>411</v>
      </c>
      <c r="C195" s="6" t="s">
        <v>1168</v>
      </c>
      <c r="D195" s="6" t="s">
        <v>1167</v>
      </c>
    </row>
    <row r="196" customFormat="false" ht="15" hidden="false" customHeight="false" outlineLevel="0" collapsed="false">
      <c r="A196" s="6" t="n">
        <v>192</v>
      </c>
      <c r="B196" s="6" t="s">
        <v>411</v>
      </c>
      <c r="C196" s="6" t="s">
        <v>1171</v>
      </c>
      <c r="D196" s="6" t="s">
        <v>1170</v>
      </c>
    </row>
    <row r="197" customFormat="false" ht="15" hidden="false" customHeight="false" outlineLevel="0" collapsed="false">
      <c r="A197" s="6" t="n">
        <v>193</v>
      </c>
      <c r="B197" s="6" t="s">
        <v>411</v>
      </c>
      <c r="C197" s="6" t="s">
        <v>1174</v>
      </c>
      <c r="D197" s="6" t="s">
        <v>1173</v>
      </c>
    </row>
    <row r="198" customFormat="false" ht="15" hidden="false" customHeight="false" outlineLevel="0" collapsed="false">
      <c r="A198" s="6" t="n">
        <v>194</v>
      </c>
      <c r="B198" s="6" t="s">
        <v>411</v>
      </c>
      <c r="C198" s="6" t="s">
        <v>1177</v>
      </c>
      <c r="D198" s="6" t="s">
        <v>1176</v>
      </c>
    </row>
    <row r="199" customFormat="false" ht="15" hidden="false" customHeight="false" outlineLevel="0" collapsed="false">
      <c r="A199" s="6" t="n">
        <v>195</v>
      </c>
      <c r="B199" s="6" t="s">
        <v>411</v>
      </c>
      <c r="C199" s="6" t="s">
        <v>1180</v>
      </c>
      <c r="D199" s="6" t="s">
        <v>1179</v>
      </c>
    </row>
    <row r="200" customFormat="false" ht="15" hidden="false" customHeight="false" outlineLevel="0" collapsed="false">
      <c r="A200" s="6" t="n">
        <v>196</v>
      </c>
      <c r="B200" s="6" t="s">
        <v>411</v>
      </c>
      <c r="C200" s="6" t="s">
        <v>1183</v>
      </c>
      <c r="D200" s="6" t="s">
        <v>1182</v>
      </c>
    </row>
    <row r="201" customFormat="false" ht="15" hidden="false" customHeight="false" outlineLevel="0" collapsed="false">
      <c r="A201" s="6" t="n">
        <v>197</v>
      </c>
      <c r="B201" s="6" t="s">
        <v>411</v>
      </c>
      <c r="C201" s="6" t="s">
        <v>1186</v>
      </c>
      <c r="D201" s="6" t="s">
        <v>1185</v>
      </c>
    </row>
    <row r="202" customFormat="false" ht="15" hidden="false" customHeight="false" outlineLevel="0" collapsed="false">
      <c r="A202" s="6" t="n">
        <v>198</v>
      </c>
      <c r="B202" s="6" t="s">
        <v>411</v>
      </c>
      <c r="C202" s="6" t="s">
        <v>1189</v>
      </c>
      <c r="D202" s="6" t="s">
        <v>1188</v>
      </c>
    </row>
    <row r="203" customFormat="false" ht="15" hidden="false" customHeight="false" outlineLevel="0" collapsed="false">
      <c r="A203" s="6" t="n">
        <v>199</v>
      </c>
      <c r="B203" s="6" t="s">
        <v>411</v>
      </c>
      <c r="C203" s="6" t="s">
        <v>1192</v>
      </c>
      <c r="D203" s="6" t="s">
        <v>1191</v>
      </c>
    </row>
    <row r="204" customFormat="false" ht="15" hidden="false" customHeight="false" outlineLevel="0" collapsed="false">
      <c r="A204" s="6" t="n">
        <v>200</v>
      </c>
      <c r="B204" s="6" t="s">
        <v>411</v>
      </c>
      <c r="C204" s="6" t="s">
        <v>1195</v>
      </c>
      <c r="D204" s="6" t="s">
        <v>1194</v>
      </c>
    </row>
    <row r="205" customFormat="false" ht="15" hidden="false" customHeight="false" outlineLevel="0" collapsed="false">
      <c r="A205" s="6" t="n">
        <v>201</v>
      </c>
      <c r="B205" s="6" t="s">
        <v>411</v>
      </c>
      <c r="C205" s="6" t="s">
        <v>1198</v>
      </c>
      <c r="D205" s="6" t="s">
        <v>1197</v>
      </c>
    </row>
    <row r="206" customFormat="false" ht="15" hidden="false" customHeight="false" outlineLevel="0" collapsed="false">
      <c r="A206" s="6" t="n">
        <v>202</v>
      </c>
      <c r="B206" s="6" t="s">
        <v>411</v>
      </c>
      <c r="C206" s="6" t="s">
        <v>1201</v>
      </c>
      <c r="D206" s="6" t="s">
        <v>1200</v>
      </c>
    </row>
    <row r="207" customFormat="false" ht="15" hidden="false" customHeight="false" outlineLevel="0" collapsed="false">
      <c r="A207" s="6" t="n">
        <v>203</v>
      </c>
      <c r="B207" s="6" t="s">
        <v>411</v>
      </c>
      <c r="C207" s="6" t="s">
        <v>1204</v>
      </c>
      <c r="D207" s="6" t="s">
        <v>1203</v>
      </c>
    </row>
    <row r="208" customFormat="false" ht="15" hidden="false" customHeight="false" outlineLevel="0" collapsed="false">
      <c r="A208" s="6" t="n">
        <v>204</v>
      </c>
      <c r="B208" s="6" t="s">
        <v>411</v>
      </c>
      <c r="C208" s="6" t="s">
        <v>1207</v>
      </c>
      <c r="D208" s="6" t="s">
        <v>1206</v>
      </c>
    </row>
    <row r="209" customFormat="false" ht="15" hidden="false" customHeight="false" outlineLevel="0" collapsed="false">
      <c r="A209" s="6" t="n">
        <v>205</v>
      </c>
      <c r="B209" s="6" t="s">
        <v>411</v>
      </c>
      <c r="C209" s="6" t="s">
        <v>1210</v>
      </c>
      <c r="D209" s="6" t="s">
        <v>1209</v>
      </c>
    </row>
    <row r="210" customFormat="false" ht="15" hidden="false" customHeight="false" outlineLevel="0" collapsed="false">
      <c r="A210" s="6" t="n">
        <v>206</v>
      </c>
      <c r="B210" s="6" t="s">
        <v>411</v>
      </c>
      <c r="C210" s="6" t="s">
        <v>1213</v>
      </c>
      <c r="D210" s="6" t="s">
        <v>1212</v>
      </c>
    </row>
    <row r="211" customFormat="false" ht="15" hidden="false" customHeight="false" outlineLevel="0" collapsed="false">
      <c r="A211" s="6" t="n">
        <v>207</v>
      </c>
      <c r="B211" s="6" t="s">
        <v>411</v>
      </c>
      <c r="C211" s="6" t="s">
        <v>1216</v>
      </c>
      <c r="D211" s="6" t="s">
        <v>1215</v>
      </c>
    </row>
    <row r="212" customFormat="false" ht="15" hidden="false" customHeight="false" outlineLevel="0" collapsed="false">
      <c r="A212" s="6" t="n">
        <v>208</v>
      </c>
      <c r="B212" s="6" t="s">
        <v>411</v>
      </c>
      <c r="C212" s="6" t="s">
        <v>1219</v>
      </c>
      <c r="D212" s="6" t="s">
        <v>1218</v>
      </c>
    </row>
    <row r="213" customFormat="false" ht="15" hidden="false" customHeight="false" outlineLevel="0" collapsed="false">
      <c r="A213" s="6" t="n">
        <v>209</v>
      </c>
      <c r="B213" s="6" t="s">
        <v>411</v>
      </c>
      <c r="C213" s="6" t="s">
        <v>1222</v>
      </c>
      <c r="D213" s="6" t="s">
        <v>1221</v>
      </c>
    </row>
    <row r="214" customFormat="false" ht="15" hidden="false" customHeight="false" outlineLevel="0" collapsed="false">
      <c r="A214" s="6" t="n">
        <v>210</v>
      </c>
      <c r="B214" s="6" t="s">
        <v>411</v>
      </c>
      <c r="C214" s="6" t="s">
        <v>1225</v>
      </c>
      <c r="D214" s="6" t="s">
        <v>1224</v>
      </c>
    </row>
    <row r="215" customFormat="false" ht="15" hidden="false" customHeight="false" outlineLevel="0" collapsed="false">
      <c r="A215" s="6" t="n">
        <v>211</v>
      </c>
      <c r="B215" s="6" t="s">
        <v>411</v>
      </c>
      <c r="C215" s="6" t="s">
        <v>1228</v>
      </c>
      <c r="D215" s="6" t="s">
        <v>1227</v>
      </c>
    </row>
    <row r="216" customFormat="false" ht="15" hidden="false" customHeight="false" outlineLevel="0" collapsed="false">
      <c r="A216" s="6" t="n">
        <v>212</v>
      </c>
      <c r="B216" s="6" t="s">
        <v>411</v>
      </c>
      <c r="C216" s="6" t="s">
        <v>1231</v>
      </c>
      <c r="D216" s="6" t="s">
        <v>1230</v>
      </c>
    </row>
    <row r="217" customFormat="false" ht="15" hidden="false" customHeight="false" outlineLevel="0" collapsed="false">
      <c r="A217" s="6" t="n">
        <v>213</v>
      </c>
      <c r="B217" s="6" t="s">
        <v>411</v>
      </c>
      <c r="C217" s="6" t="s">
        <v>1234</v>
      </c>
      <c r="D217" s="6" t="s">
        <v>1233</v>
      </c>
    </row>
    <row r="218" customFormat="false" ht="15" hidden="false" customHeight="false" outlineLevel="0" collapsed="false">
      <c r="A218" s="6" t="n">
        <v>214</v>
      </c>
      <c r="B218" s="6" t="s">
        <v>411</v>
      </c>
      <c r="C218" s="6" t="s">
        <v>1237</v>
      </c>
      <c r="D218" s="6" t="s">
        <v>1236</v>
      </c>
    </row>
    <row r="219" customFormat="false" ht="15" hidden="false" customHeight="false" outlineLevel="0" collapsed="false">
      <c r="A219" s="6" t="n">
        <v>215</v>
      </c>
      <c r="B219" s="6" t="s">
        <v>411</v>
      </c>
      <c r="C219" s="6" t="s">
        <v>1240</v>
      </c>
      <c r="D219" s="6" t="s">
        <v>1239</v>
      </c>
    </row>
    <row r="220" customFormat="false" ht="15" hidden="false" customHeight="false" outlineLevel="0" collapsed="false">
      <c r="A220" s="6" t="n">
        <v>216</v>
      </c>
      <c r="B220" s="6" t="s">
        <v>411</v>
      </c>
      <c r="C220" s="6" t="s">
        <v>1243</v>
      </c>
      <c r="D220" s="6" t="s">
        <v>1242</v>
      </c>
    </row>
    <row r="221" customFormat="false" ht="15" hidden="false" customHeight="false" outlineLevel="0" collapsed="false">
      <c r="A221" s="6" t="n">
        <v>217</v>
      </c>
      <c r="B221" s="6" t="s">
        <v>411</v>
      </c>
      <c r="C221" s="6" t="s">
        <v>1246</v>
      </c>
      <c r="D221" s="6" t="s">
        <v>1245</v>
      </c>
    </row>
    <row r="222" customFormat="false" ht="22.35" hidden="false" customHeight="false" outlineLevel="0" collapsed="false">
      <c r="A222" s="6" t="n">
        <v>218</v>
      </c>
      <c r="B222" s="6" t="s">
        <v>411</v>
      </c>
      <c r="C222" s="6" t="s">
        <v>2260</v>
      </c>
      <c r="D222" s="6" t="s">
        <v>2254</v>
      </c>
    </row>
    <row r="223" customFormat="false" ht="15" hidden="false" customHeight="false" outlineLevel="0" collapsed="false">
      <c r="A223" s="6" t="n">
        <v>219</v>
      </c>
      <c r="B223" s="6" t="s">
        <v>411</v>
      </c>
      <c r="C223" s="6" t="s">
        <v>1249</v>
      </c>
      <c r="D223" s="6" t="s">
        <v>1248</v>
      </c>
    </row>
    <row r="224" customFormat="false" ht="15" hidden="false" customHeight="false" outlineLevel="0" collapsed="false">
      <c r="A224" s="6" t="n">
        <v>220</v>
      </c>
      <c r="B224" s="6" t="s">
        <v>411</v>
      </c>
      <c r="C224" s="6" t="s">
        <v>1252</v>
      </c>
      <c r="D224" s="6" t="s">
        <v>1251</v>
      </c>
    </row>
    <row r="225" customFormat="false" ht="15" hidden="false" customHeight="false" outlineLevel="0" collapsed="false">
      <c r="A225" s="6" t="n">
        <v>221</v>
      </c>
      <c r="B225" s="6" t="s">
        <v>411</v>
      </c>
      <c r="C225" s="6" t="s">
        <v>1255</v>
      </c>
      <c r="D225" s="6" t="s">
        <v>1254</v>
      </c>
    </row>
    <row r="226" customFormat="false" ht="15" hidden="false" customHeight="false" outlineLevel="0" collapsed="false">
      <c r="A226" s="6" t="n">
        <v>222</v>
      </c>
      <c r="B226" s="6" t="s">
        <v>411</v>
      </c>
      <c r="C226" s="6" t="s">
        <v>1258</v>
      </c>
      <c r="D226" s="6" t="s">
        <v>1257</v>
      </c>
    </row>
    <row r="227" customFormat="false" ht="15" hidden="false" customHeight="false" outlineLevel="0" collapsed="false">
      <c r="A227" s="6" t="n">
        <v>223</v>
      </c>
      <c r="B227" s="6" t="s">
        <v>411</v>
      </c>
      <c r="C227" s="6" t="s">
        <v>1261</v>
      </c>
      <c r="D227" s="6" t="s">
        <v>1260</v>
      </c>
    </row>
    <row r="228" customFormat="false" ht="15" hidden="false" customHeight="false" outlineLevel="0" collapsed="false">
      <c r="A228" s="6" t="n">
        <v>224</v>
      </c>
      <c r="B228" s="6" t="s">
        <v>411</v>
      </c>
      <c r="C228" s="6" t="s">
        <v>1264</v>
      </c>
      <c r="D228" s="6" t="s">
        <v>1263</v>
      </c>
    </row>
    <row r="229" customFormat="false" ht="15" hidden="false" customHeight="false" outlineLevel="0" collapsed="false">
      <c r="A229" s="6" t="n">
        <v>225</v>
      </c>
      <c r="B229" s="6" t="s">
        <v>411</v>
      </c>
      <c r="C229" s="6" t="s">
        <v>1267</v>
      </c>
      <c r="D229" s="6" t="s">
        <v>1266</v>
      </c>
    </row>
    <row r="230" customFormat="false" ht="15" hidden="false" customHeight="false" outlineLevel="0" collapsed="false">
      <c r="A230" s="6" t="n">
        <v>226</v>
      </c>
      <c r="B230" s="6" t="s">
        <v>411</v>
      </c>
      <c r="C230" s="6" t="s">
        <v>1270</v>
      </c>
      <c r="D230" s="6" t="s">
        <v>1269</v>
      </c>
    </row>
    <row r="231" customFormat="false" ht="15" hidden="false" customHeight="false" outlineLevel="0" collapsed="false">
      <c r="A231" s="6" t="n">
        <v>227</v>
      </c>
      <c r="B231" s="6" t="s">
        <v>411</v>
      </c>
      <c r="C231" s="6" t="s">
        <v>1273</v>
      </c>
      <c r="D231" s="6" t="s">
        <v>1272</v>
      </c>
    </row>
    <row r="232" customFormat="false" ht="15" hidden="false" customHeight="false" outlineLevel="0" collapsed="false">
      <c r="A232" s="6" t="n">
        <v>228</v>
      </c>
      <c r="B232" s="6" t="s">
        <v>411</v>
      </c>
      <c r="C232" s="6" t="s">
        <v>713</v>
      </c>
      <c r="D232" s="6" t="s">
        <v>712</v>
      </c>
    </row>
    <row r="233" customFormat="false" ht="15" hidden="false" customHeight="false" outlineLevel="0" collapsed="false">
      <c r="A233" s="6" t="n">
        <v>229</v>
      </c>
      <c r="B233" s="6" t="s">
        <v>411</v>
      </c>
      <c r="C233" s="6" t="s">
        <v>1276</v>
      </c>
      <c r="D233" s="6" t="s">
        <v>1275</v>
      </c>
    </row>
    <row r="234" customFormat="false" ht="15" hidden="false" customHeight="false" outlineLevel="0" collapsed="false">
      <c r="A234" s="6" t="n">
        <v>230</v>
      </c>
      <c r="B234" s="6" t="s">
        <v>411</v>
      </c>
      <c r="C234" s="6" t="s">
        <v>716</v>
      </c>
      <c r="D234" s="6" t="s">
        <v>715</v>
      </c>
    </row>
    <row r="235" customFormat="false" ht="15" hidden="false" customHeight="false" outlineLevel="0" collapsed="false">
      <c r="A235" s="6" t="n">
        <v>231</v>
      </c>
      <c r="B235" s="6" t="s">
        <v>411</v>
      </c>
      <c r="C235" s="6" t="s">
        <v>1279</v>
      </c>
      <c r="D235" s="6" t="s">
        <v>1278</v>
      </c>
    </row>
    <row r="236" customFormat="false" ht="22.35" hidden="false" customHeight="false" outlineLevel="0" collapsed="false">
      <c r="A236" s="6" t="n">
        <v>232</v>
      </c>
      <c r="B236" s="6" t="s">
        <v>411</v>
      </c>
      <c r="C236" s="6" t="s">
        <v>2261</v>
      </c>
      <c r="D236" s="6" t="s">
        <v>2254</v>
      </c>
    </row>
    <row r="237" customFormat="false" ht="22.35" hidden="false" customHeight="false" outlineLevel="0" collapsed="false">
      <c r="A237" s="6" t="n">
        <v>233</v>
      </c>
      <c r="B237" s="6" t="s">
        <v>411</v>
      </c>
      <c r="C237" s="6" t="s">
        <v>2262</v>
      </c>
      <c r="D237" s="6" t="s">
        <v>2254</v>
      </c>
    </row>
    <row r="238" customFormat="false" ht="15" hidden="false" customHeight="false" outlineLevel="0" collapsed="false">
      <c r="A238" s="6" t="n">
        <v>234</v>
      </c>
      <c r="B238" s="6" t="s">
        <v>411</v>
      </c>
      <c r="C238" s="6" t="s">
        <v>1285</v>
      </c>
      <c r="D238" s="6" t="s">
        <v>1284</v>
      </c>
    </row>
    <row r="239" customFormat="false" ht="15" hidden="false" customHeight="false" outlineLevel="0" collapsed="false">
      <c r="A239" s="6" t="n">
        <v>235</v>
      </c>
      <c r="B239" s="6" t="s">
        <v>411</v>
      </c>
      <c r="C239" s="6" t="s">
        <v>1282</v>
      </c>
      <c r="D239" s="6" t="s">
        <v>1281</v>
      </c>
    </row>
    <row r="240" customFormat="false" ht="15" hidden="false" customHeight="false" outlineLevel="0" collapsed="false">
      <c r="A240" s="6" t="n">
        <v>236</v>
      </c>
      <c r="B240" s="6" t="s">
        <v>411</v>
      </c>
      <c r="C240" s="6" t="s">
        <v>719</v>
      </c>
      <c r="D240" s="6" t="s">
        <v>718</v>
      </c>
    </row>
    <row r="241" customFormat="false" ht="15" hidden="false" customHeight="false" outlineLevel="0" collapsed="false">
      <c r="A241" s="6" t="n">
        <v>237</v>
      </c>
      <c r="B241" s="6" t="s">
        <v>411</v>
      </c>
      <c r="C241" s="6" t="s">
        <v>722</v>
      </c>
      <c r="D241" s="6" t="s">
        <v>721</v>
      </c>
    </row>
    <row r="242" customFormat="false" ht="15" hidden="false" customHeight="false" outlineLevel="0" collapsed="false">
      <c r="A242" s="6" t="n">
        <v>238</v>
      </c>
      <c r="B242" s="6" t="s">
        <v>411</v>
      </c>
      <c r="C242" s="6" t="s">
        <v>1288</v>
      </c>
      <c r="D242" s="6" t="s">
        <v>1287</v>
      </c>
    </row>
    <row r="243" customFormat="false" ht="15" hidden="false" customHeight="false" outlineLevel="0" collapsed="false">
      <c r="A243" s="6" t="n">
        <v>239</v>
      </c>
      <c r="B243" s="6" t="s">
        <v>411</v>
      </c>
      <c r="C243" s="6" t="s">
        <v>1291</v>
      </c>
      <c r="D243" s="6" t="s">
        <v>1290</v>
      </c>
    </row>
    <row r="244" customFormat="false" ht="15" hidden="false" customHeight="false" outlineLevel="0" collapsed="false">
      <c r="A244" s="6" t="n">
        <v>240</v>
      </c>
      <c r="B244" s="6" t="s">
        <v>411</v>
      </c>
      <c r="C244" s="6" t="s">
        <v>1294</v>
      </c>
      <c r="D244" s="6" t="s">
        <v>1293</v>
      </c>
    </row>
    <row r="245" customFormat="false" ht="15" hidden="false" customHeight="false" outlineLevel="0" collapsed="false">
      <c r="A245" s="6" t="n">
        <v>241</v>
      </c>
      <c r="B245" s="6" t="s">
        <v>411</v>
      </c>
      <c r="C245" s="6" t="s">
        <v>1297</v>
      </c>
      <c r="D245" s="6" t="s">
        <v>1296</v>
      </c>
    </row>
    <row r="246" customFormat="false" ht="15" hidden="false" customHeight="false" outlineLevel="0" collapsed="false">
      <c r="A246" s="6" t="n">
        <v>242</v>
      </c>
      <c r="B246" s="6" t="s">
        <v>411</v>
      </c>
      <c r="C246" s="6" t="s">
        <v>1300</v>
      </c>
      <c r="D246" s="6" t="s">
        <v>1299</v>
      </c>
    </row>
    <row r="247" customFormat="false" ht="15" hidden="false" customHeight="false" outlineLevel="0" collapsed="false">
      <c r="A247" s="6" t="n">
        <v>243</v>
      </c>
      <c r="B247" s="6" t="s">
        <v>411</v>
      </c>
      <c r="C247" s="6" t="s">
        <v>1303</v>
      </c>
      <c r="D247" s="6" t="s">
        <v>1302</v>
      </c>
    </row>
    <row r="248" customFormat="false" ht="15" hidden="false" customHeight="false" outlineLevel="0" collapsed="false">
      <c r="A248" s="6" t="n">
        <v>244</v>
      </c>
      <c r="B248" s="6" t="s">
        <v>411</v>
      </c>
      <c r="C248" s="6" t="s">
        <v>1306</v>
      </c>
      <c r="D248" s="6" t="s">
        <v>1305</v>
      </c>
    </row>
    <row r="249" customFormat="false" ht="15" hidden="false" customHeight="false" outlineLevel="0" collapsed="false">
      <c r="A249" s="6" t="n">
        <v>245</v>
      </c>
      <c r="B249" s="6" t="s">
        <v>411</v>
      </c>
      <c r="C249" s="6" t="s">
        <v>1309</v>
      </c>
      <c r="D249" s="6" t="s">
        <v>1308</v>
      </c>
    </row>
    <row r="250" customFormat="false" ht="15" hidden="false" customHeight="false" outlineLevel="0" collapsed="false">
      <c r="A250" s="6" t="n">
        <v>246</v>
      </c>
      <c r="B250" s="6" t="s">
        <v>411</v>
      </c>
      <c r="C250" s="6" t="s">
        <v>1312</v>
      </c>
      <c r="D250" s="6" t="s">
        <v>1311</v>
      </c>
    </row>
    <row r="251" customFormat="false" ht="15" hidden="false" customHeight="false" outlineLevel="0" collapsed="false">
      <c r="A251" s="6" t="n">
        <v>247</v>
      </c>
      <c r="B251" s="6" t="s">
        <v>411</v>
      </c>
      <c r="C251" s="6" t="s">
        <v>1315</v>
      </c>
      <c r="D251" s="6" t="s">
        <v>1314</v>
      </c>
    </row>
    <row r="252" customFormat="false" ht="22.35" hidden="false" customHeight="false" outlineLevel="0" collapsed="false">
      <c r="A252" s="6" t="n">
        <v>248</v>
      </c>
      <c r="B252" s="6" t="s">
        <v>411</v>
      </c>
      <c r="C252" s="6" t="s">
        <v>1318</v>
      </c>
      <c r="D252" s="6" t="s">
        <v>1317</v>
      </c>
    </row>
    <row r="253" customFormat="false" ht="15" hidden="false" customHeight="false" outlineLevel="0" collapsed="false">
      <c r="A253" s="6" t="n">
        <v>249</v>
      </c>
      <c r="B253" s="6" t="s">
        <v>411</v>
      </c>
      <c r="C253" s="6" t="s">
        <v>725</v>
      </c>
      <c r="D253" s="6" t="s">
        <v>724</v>
      </c>
    </row>
    <row r="254" customFormat="false" ht="15" hidden="false" customHeight="false" outlineLevel="0" collapsed="false">
      <c r="A254" s="6" t="n">
        <v>250</v>
      </c>
      <c r="B254" s="6" t="s">
        <v>411</v>
      </c>
      <c r="C254" s="6" t="s">
        <v>1321</v>
      </c>
      <c r="D254" s="6" t="s">
        <v>1320</v>
      </c>
    </row>
    <row r="255" customFormat="false" ht="15" hidden="false" customHeight="false" outlineLevel="0" collapsed="false">
      <c r="A255" s="6" t="n">
        <v>251</v>
      </c>
      <c r="B255" s="6" t="s">
        <v>411</v>
      </c>
      <c r="C255" s="6" t="s">
        <v>1324</v>
      </c>
      <c r="D255" s="6" t="s">
        <v>1323</v>
      </c>
    </row>
    <row r="256" customFormat="false" ht="15" hidden="false" customHeight="false" outlineLevel="0" collapsed="false">
      <c r="A256" s="6" t="n">
        <v>252</v>
      </c>
      <c r="B256" s="6" t="s">
        <v>411</v>
      </c>
      <c r="C256" s="6" t="s">
        <v>1327</v>
      </c>
      <c r="D256" s="6" t="s">
        <v>1326</v>
      </c>
    </row>
    <row r="257" customFormat="false" ht="15" hidden="false" customHeight="false" outlineLevel="0" collapsed="false">
      <c r="A257" s="6" t="n">
        <v>253</v>
      </c>
      <c r="B257" s="6" t="s">
        <v>411</v>
      </c>
      <c r="C257" s="6" t="s">
        <v>1330</v>
      </c>
      <c r="D257" s="6" t="s">
        <v>1329</v>
      </c>
    </row>
    <row r="258" customFormat="false" ht="15" hidden="false" customHeight="false" outlineLevel="0" collapsed="false">
      <c r="A258" s="6" t="n">
        <v>254</v>
      </c>
      <c r="B258" s="6" t="s">
        <v>411</v>
      </c>
      <c r="C258" s="6" t="s">
        <v>1333</v>
      </c>
      <c r="D258" s="6" t="s">
        <v>1332</v>
      </c>
    </row>
    <row r="259" customFormat="false" ht="22.35" hidden="false" customHeight="false" outlineLevel="0" collapsed="false">
      <c r="A259" s="6" t="n">
        <v>255</v>
      </c>
      <c r="B259" s="6" t="s">
        <v>411</v>
      </c>
      <c r="C259" s="6" t="s">
        <v>2263</v>
      </c>
      <c r="D259" s="6" t="s">
        <v>2254</v>
      </c>
    </row>
    <row r="260" customFormat="false" ht="15" hidden="false" customHeight="false" outlineLevel="0" collapsed="false">
      <c r="A260" s="6" t="n">
        <v>256</v>
      </c>
      <c r="B260" s="6" t="s">
        <v>411</v>
      </c>
      <c r="C260" s="6" t="s">
        <v>1336</v>
      </c>
      <c r="D260" s="6" t="s">
        <v>1335</v>
      </c>
    </row>
    <row r="261" customFormat="false" ht="15" hidden="false" customHeight="false" outlineLevel="0" collapsed="false">
      <c r="A261" s="6" t="n">
        <v>257</v>
      </c>
      <c r="B261" s="6" t="s">
        <v>411</v>
      </c>
      <c r="C261" s="6" t="s">
        <v>1339</v>
      </c>
      <c r="D261" s="6" t="s">
        <v>1338</v>
      </c>
    </row>
    <row r="262" customFormat="false" ht="15" hidden="false" customHeight="false" outlineLevel="0" collapsed="false">
      <c r="A262" s="6" t="n">
        <v>258</v>
      </c>
      <c r="B262" s="6" t="s">
        <v>411</v>
      </c>
      <c r="C262" s="6" t="s">
        <v>1342</v>
      </c>
      <c r="D262" s="6" t="s">
        <v>1341</v>
      </c>
    </row>
    <row r="263" customFormat="false" ht="15" hidden="false" customHeight="false" outlineLevel="0" collapsed="false">
      <c r="A263" s="6" t="n">
        <v>259</v>
      </c>
      <c r="B263" s="6" t="s">
        <v>411</v>
      </c>
      <c r="C263" s="6" t="s">
        <v>1345</v>
      </c>
      <c r="D263" s="6" t="s">
        <v>1344</v>
      </c>
    </row>
    <row r="264" customFormat="false" ht="15" hidden="false" customHeight="false" outlineLevel="0" collapsed="false">
      <c r="A264" s="6" t="n">
        <v>260</v>
      </c>
      <c r="B264" s="6" t="s">
        <v>411</v>
      </c>
      <c r="C264" s="6" t="s">
        <v>1348</v>
      </c>
      <c r="D264" s="6" t="s">
        <v>1347</v>
      </c>
    </row>
    <row r="265" customFormat="false" ht="15" hidden="false" customHeight="false" outlineLevel="0" collapsed="false">
      <c r="A265" s="6" t="n">
        <v>261</v>
      </c>
      <c r="B265" s="6" t="s">
        <v>411</v>
      </c>
      <c r="C265" s="6" t="s">
        <v>1351</v>
      </c>
      <c r="D265" s="6" t="s">
        <v>1350</v>
      </c>
    </row>
    <row r="266" customFormat="false" ht="15" hidden="false" customHeight="false" outlineLevel="0" collapsed="false">
      <c r="A266" s="6" t="n">
        <v>262</v>
      </c>
      <c r="B266" s="6" t="s">
        <v>411</v>
      </c>
      <c r="C266" s="6" t="s">
        <v>1354</v>
      </c>
      <c r="D266" s="6" t="s">
        <v>1353</v>
      </c>
    </row>
    <row r="267" customFormat="false" ht="15" hidden="false" customHeight="false" outlineLevel="0" collapsed="false">
      <c r="A267" s="6" t="n">
        <v>263</v>
      </c>
      <c r="B267" s="6" t="s">
        <v>411</v>
      </c>
      <c r="C267" s="6" t="s">
        <v>1357</v>
      </c>
      <c r="D267" s="6" t="s">
        <v>1356</v>
      </c>
    </row>
    <row r="268" customFormat="false" ht="15" hidden="false" customHeight="false" outlineLevel="0" collapsed="false">
      <c r="A268" s="6" t="n">
        <v>264</v>
      </c>
      <c r="B268" s="6" t="s">
        <v>411</v>
      </c>
      <c r="C268" s="6" t="s">
        <v>1360</v>
      </c>
      <c r="D268" s="6" t="s">
        <v>1359</v>
      </c>
    </row>
    <row r="269" customFormat="false" ht="15" hidden="false" customHeight="false" outlineLevel="0" collapsed="false">
      <c r="A269" s="6" t="n">
        <v>265</v>
      </c>
      <c r="B269" s="6" t="s">
        <v>411</v>
      </c>
      <c r="C269" s="6" t="s">
        <v>1363</v>
      </c>
      <c r="D269" s="6" t="s">
        <v>1362</v>
      </c>
    </row>
    <row r="270" customFormat="false" ht="15" hidden="false" customHeight="false" outlineLevel="0" collapsed="false">
      <c r="A270" s="6" t="n">
        <v>266</v>
      </c>
      <c r="B270" s="6" t="s">
        <v>411</v>
      </c>
      <c r="C270" s="6" t="s">
        <v>1366</v>
      </c>
      <c r="D270" s="6" t="s">
        <v>1365</v>
      </c>
    </row>
    <row r="271" customFormat="false" ht="15" hidden="false" customHeight="false" outlineLevel="0" collapsed="false">
      <c r="A271" s="6" t="n">
        <v>267</v>
      </c>
      <c r="B271" s="6" t="s">
        <v>411</v>
      </c>
      <c r="C271" s="6" t="s">
        <v>1369</v>
      </c>
      <c r="D271" s="6" t="s">
        <v>1368</v>
      </c>
    </row>
    <row r="272" customFormat="false" ht="15" hidden="false" customHeight="false" outlineLevel="0" collapsed="false">
      <c r="A272" s="6" t="n">
        <v>268</v>
      </c>
      <c r="B272" s="6" t="s">
        <v>411</v>
      </c>
      <c r="C272" s="6" t="s">
        <v>1372</v>
      </c>
      <c r="D272" s="6" t="s">
        <v>1371</v>
      </c>
    </row>
    <row r="273" customFormat="false" ht="15" hidden="false" customHeight="false" outlineLevel="0" collapsed="false">
      <c r="A273" s="6" t="n">
        <v>269</v>
      </c>
      <c r="B273" s="6" t="s">
        <v>411</v>
      </c>
      <c r="C273" s="6" t="s">
        <v>1375</v>
      </c>
      <c r="D273" s="6" t="s">
        <v>1374</v>
      </c>
    </row>
    <row r="274" customFormat="false" ht="15" hidden="false" customHeight="false" outlineLevel="0" collapsed="false">
      <c r="A274" s="6" t="n">
        <v>270</v>
      </c>
      <c r="B274" s="6" t="s">
        <v>411</v>
      </c>
      <c r="C274" s="6" t="s">
        <v>1378</v>
      </c>
      <c r="D274" s="6" t="s">
        <v>1377</v>
      </c>
    </row>
    <row r="275" customFormat="false" ht="15" hidden="false" customHeight="false" outlineLevel="0" collapsed="false">
      <c r="A275" s="6" t="n">
        <v>271</v>
      </c>
      <c r="B275" s="6" t="s">
        <v>411</v>
      </c>
      <c r="C275" s="6" t="s">
        <v>728</v>
      </c>
      <c r="D275" s="6" t="s">
        <v>727</v>
      </c>
    </row>
    <row r="276" customFormat="false" ht="15" hidden="false" customHeight="false" outlineLevel="0" collapsed="false">
      <c r="A276" s="6" t="n">
        <v>272</v>
      </c>
      <c r="B276" s="6" t="s">
        <v>411</v>
      </c>
      <c r="C276" s="6" t="s">
        <v>736</v>
      </c>
      <c r="D276" s="6" t="s">
        <v>735</v>
      </c>
    </row>
    <row r="277" customFormat="false" ht="15" hidden="false" customHeight="false" outlineLevel="0" collapsed="false">
      <c r="A277" s="6" t="n">
        <v>273</v>
      </c>
      <c r="B277" s="6" t="s">
        <v>411</v>
      </c>
      <c r="C277" s="6" t="s">
        <v>1381</v>
      </c>
      <c r="D277" s="6" t="s">
        <v>1380</v>
      </c>
    </row>
    <row r="278" customFormat="false" ht="15" hidden="false" customHeight="false" outlineLevel="0" collapsed="false">
      <c r="A278" s="6" t="n">
        <v>274</v>
      </c>
      <c r="B278" s="6" t="s">
        <v>411</v>
      </c>
      <c r="C278" s="6" t="s">
        <v>1384</v>
      </c>
      <c r="D278" s="6" t="s">
        <v>1383</v>
      </c>
    </row>
    <row r="279" customFormat="false" ht="15" hidden="false" customHeight="false" outlineLevel="0" collapsed="false">
      <c r="A279" s="6" t="n">
        <v>275</v>
      </c>
      <c r="B279" s="6" t="s">
        <v>411</v>
      </c>
      <c r="C279" s="6" t="s">
        <v>1387</v>
      </c>
      <c r="D279" s="6" t="s">
        <v>1386</v>
      </c>
    </row>
    <row r="280" customFormat="false" ht="15" hidden="false" customHeight="false" outlineLevel="0" collapsed="false">
      <c r="A280" s="6" t="n">
        <v>276</v>
      </c>
      <c r="B280" s="6" t="s">
        <v>411</v>
      </c>
      <c r="C280" s="6" t="s">
        <v>1390</v>
      </c>
      <c r="D280" s="6" t="s">
        <v>1389</v>
      </c>
    </row>
    <row r="281" customFormat="false" ht="15" hidden="false" customHeight="false" outlineLevel="0" collapsed="false">
      <c r="A281" s="6" t="n">
        <v>277</v>
      </c>
      <c r="B281" s="6" t="s">
        <v>411</v>
      </c>
      <c r="C281" s="6" t="s">
        <v>1393</v>
      </c>
      <c r="D281" s="6" t="s">
        <v>1392</v>
      </c>
    </row>
    <row r="282" customFormat="false" ht="15" hidden="false" customHeight="false" outlineLevel="0" collapsed="false">
      <c r="A282" s="6" t="n">
        <v>278</v>
      </c>
      <c r="B282" s="6" t="s">
        <v>411</v>
      </c>
      <c r="C282" s="6" t="s">
        <v>1396</v>
      </c>
      <c r="D282" s="6" t="s">
        <v>1395</v>
      </c>
    </row>
    <row r="283" customFormat="false" ht="15" hidden="false" customHeight="false" outlineLevel="0" collapsed="false">
      <c r="A283" s="6" t="n">
        <v>279</v>
      </c>
      <c r="B283" s="6" t="s">
        <v>411</v>
      </c>
      <c r="C283" s="6" t="s">
        <v>1399</v>
      </c>
      <c r="D283" s="6" t="s">
        <v>1398</v>
      </c>
    </row>
    <row r="284" customFormat="false" ht="15" hidden="false" customHeight="false" outlineLevel="0" collapsed="false">
      <c r="A284" s="6" t="n">
        <v>280</v>
      </c>
      <c r="B284" s="6" t="s">
        <v>411</v>
      </c>
      <c r="C284" s="6" t="s">
        <v>1402</v>
      </c>
      <c r="D284" s="6" t="s">
        <v>1401</v>
      </c>
    </row>
    <row r="285" customFormat="false" ht="15" hidden="false" customHeight="false" outlineLevel="0" collapsed="false">
      <c r="A285" s="6" t="n">
        <v>281</v>
      </c>
      <c r="B285" s="6" t="s">
        <v>411</v>
      </c>
      <c r="C285" s="6" t="s">
        <v>1405</v>
      </c>
      <c r="D285" s="6" t="s">
        <v>1404</v>
      </c>
    </row>
    <row r="286" customFormat="false" ht="15" hidden="false" customHeight="false" outlineLevel="0" collapsed="false">
      <c r="A286" s="6" t="n">
        <v>282</v>
      </c>
      <c r="B286" s="6" t="s">
        <v>411</v>
      </c>
      <c r="C286" s="6" t="s">
        <v>1408</v>
      </c>
      <c r="D286" s="6" t="s">
        <v>1407</v>
      </c>
    </row>
    <row r="287" customFormat="false" ht="15" hidden="false" customHeight="false" outlineLevel="0" collapsed="false">
      <c r="A287" s="6" t="n">
        <v>283</v>
      </c>
      <c r="B287" s="6" t="s">
        <v>411</v>
      </c>
      <c r="C287" s="6" t="s">
        <v>1411</v>
      </c>
      <c r="D287" s="6" t="s">
        <v>1410</v>
      </c>
    </row>
    <row r="288" customFormat="false" ht="15" hidden="false" customHeight="false" outlineLevel="0" collapsed="false">
      <c r="A288" s="6" t="n">
        <v>284</v>
      </c>
      <c r="B288" s="6" t="s">
        <v>411</v>
      </c>
      <c r="C288" s="6" t="s">
        <v>1414</v>
      </c>
      <c r="D288" s="6" t="s">
        <v>1413</v>
      </c>
    </row>
    <row r="289" customFormat="false" ht="15" hidden="false" customHeight="false" outlineLevel="0" collapsed="false">
      <c r="A289" s="6" t="n">
        <v>285</v>
      </c>
      <c r="B289" s="6" t="s">
        <v>411</v>
      </c>
      <c r="C289" s="6" t="s">
        <v>1417</v>
      </c>
      <c r="D289" s="6" t="s">
        <v>1416</v>
      </c>
    </row>
    <row r="290" customFormat="false" ht="15" hidden="false" customHeight="false" outlineLevel="0" collapsed="false">
      <c r="A290" s="6" t="n">
        <v>286</v>
      </c>
      <c r="B290" s="6" t="s">
        <v>411</v>
      </c>
      <c r="C290" s="6" t="s">
        <v>1420</v>
      </c>
      <c r="D290" s="6" t="s">
        <v>1419</v>
      </c>
    </row>
    <row r="291" customFormat="false" ht="15" hidden="false" customHeight="false" outlineLevel="0" collapsed="false">
      <c r="A291" s="6" t="n">
        <v>287</v>
      </c>
      <c r="B291" s="6" t="s">
        <v>411</v>
      </c>
      <c r="C291" s="6" t="s">
        <v>739</v>
      </c>
      <c r="D291" s="6" t="s">
        <v>738</v>
      </c>
    </row>
    <row r="292" customFormat="false" ht="15" hidden="false" customHeight="false" outlineLevel="0" collapsed="false">
      <c r="A292" s="6" t="n">
        <v>288</v>
      </c>
      <c r="B292" s="6" t="s">
        <v>411</v>
      </c>
      <c r="C292" s="6" t="s">
        <v>1423</v>
      </c>
      <c r="D292" s="6" t="s">
        <v>1422</v>
      </c>
    </row>
    <row r="293" customFormat="false" ht="15" hidden="false" customHeight="false" outlineLevel="0" collapsed="false">
      <c r="A293" s="6" t="n">
        <v>289</v>
      </c>
      <c r="B293" s="6" t="s">
        <v>411</v>
      </c>
      <c r="C293" s="6" t="s">
        <v>1426</v>
      </c>
      <c r="D293" s="6" t="s">
        <v>1425</v>
      </c>
    </row>
    <row r="294" customFormat="false" ht="15" hidden="false" customHeight="false" outlineLevel="0" collapsed="false">
      <c r="A294" s="6" t="n">
        <v>290</v>
      </c>
      <c r="B294" s="6" t="s">
        <v>411</v>
      </c>
      <c r="C294" s="6" t="s">
        <v>1429</v>
      </c>
      <c r="D294" s="6" t="s">
        <v>1428</v>
      </c>
    </row>
    <row r="295" customFormat="false" ht="15" hidden="false" customHeight="false" outlineLevel="0" collapsed="false">
      <c r="A295" s="6" t="n">
        <v>291</v>
      </c>
      <c r="B295" s="6" t="s">
        <v>411</v>
      </c>
      <c r="C295" s="6" t="s">
        <v>1432</v>
      </c>
      <c r="D295" s="6" t="s">
        <v>1431</v>
      </c>
    </row>
    <row r="296" customFormat="false" ht="15" hidden="false" customHeight="false" outlineLevel="0" collapsed="false">
      <c r="A296" s="6" t="n">
        <v>292</v>
      </c>
      <c r="B296" s="6" t="s">
        <v>411</v>
      </c>
      <c r="C296" s="6" t="s">
        <v>1435</v>
      </c>
      <c r="D296" s="6" t="s">
        <v>1434</v>
      </c>
    </row>
    <row r="297" customFormat="false" ht="15" hidden="false" customHeight="false" outlineLevel="0" collapsed="false">
      <c r="A297" s="6" t="n">
        <v>293</v>
      </c>
      <c r="B297" s="6" t="s">
        <v>411</v>
      </c>
      <c r="C297" s="6" t="s">
        <v>1438</v>
      </c>
      <c r="D297" s="6" t="s">
        <v>1437</v>
      </c>
    </row>
    <row r="298" customFormat="false" ht="15" hidden="false" customHeight="false" outlineLevel="0" collapsed="false">
      <c r="A298" s="6" t="n">
        <v>294</v>
      </c>
      <c r="B298" s="6" t="s">
        <v>411</v>
      </c>
      <c r="C298" s="6" t="s">
        <v>1441</v>
      </c>
      <c r="D298" s="6" t="s">
        <v>1440</v>
      </c>
    </row>
    <row r="299" customFormat="false" ht="15" hidden="false" customHeight="false" outlineLevel="0" collapsed="false">
      <c r="A299" s="6" t="n">
        <v>295</v>
      </c>
      <c r="B299" s="6" t="s">
        <v>411</v>
      </c>
      <c r="C299" s="6" t="s">
        <v>1444</v>
      </c>
      <c r="D299" s="6" t="s">
        <v>1443</v>
      </c>
    </row>
    <row r="300" customFormat="false" ht="15" hidden="false" customHeight="false" outlineLevel="0" collapsed="false">
      <c r="A300" s="6" t="n">
        <v>296</v>
      </c>
      <c r="B300" s="6" t="s">
        <v>411</v>
      </c>
      <c r="C300" s="6" t="s">
        <v>1447</v>
      </c>
      <c r="D300" s="6" t="s">
        <v>1446</v>
      </c>
    </row>
    <row r="301" customFormat="false" ht="15" hidden="false" customHeight="false" outlineLevel="0" collapsed="false">
      <c r="A301" s="6" t="n">
        <v>297</v>
      </c>
      <c r="B301" s="6" t="s">
        <v>411</v>
      </c>
      <c r="C301" s="6" t="s">
        <v>1450</v>
      </c>
      <c r="D301" s="6" t="s">
        <v>1449</v>
      </c>
    </row>
    <row r="302" customFormat="false" ht="15" hidden="false" customHeight="false" outlineLevel="0" collapsed="false">
      <c r="A302" s="6" t="n">
        <v>298</v>
      </c>
      <c r="B302" s="6" t="s">
        <v>411</v>
      </c>
      <c r="C302" s="6" t="s">
        <v>1453</v>
      </c>
      <c r="D302" s="6" t="s">
        <v>1452</v>
      </c>
    </row>
    <row r="303" customFormat="false" ht="15" hidden="false" customHeight="false" outlineLevel="0" collapsed="false">
      <c r="A303" s="6" t="n">
        <v>299</v>
      </c>
      <c r="B303" s="6" t="s">
        <v>411</v>
      </c>
      <c r="C303" s="6" t="s">
        <v>1456</v>
      </c>
      <c r="D303" s="6" t="s">
        <v>1455</v>
      </c>
    </row>
    <row r="304" customFormat="false" ht="15" hidden="false" customHeight="false" outlineLevel="0" collapsed="false">
      <c r="A304" s="6" t="n">
        <v>300</v>
      </c>
      <c r="B304" s="6" t="s">
        <v>411</v>
      </c>
      <c r="C304" s="6" t="s">
        <v>759</v>
      </c>
      <c r="D304" s="6" t="s">
        <v>758</v>
      </c>
    </row>
    <row r="305" customFormat="false" ht="15" hidden="false" customHeight="false" outlineLevel="0" collapsed="false">
      <c r="A305" s="6" t="n">
        <v>301</v>
      </c>
      <c r="B305" s="6" t="s">
        <v>411</v>
      </c>
      <c r="C305" s="6" t="s">
        <v>1459</v>
      </c>
      <c r="D305" s="6" t="s">
        <v>1458</v>
      </c>
    </row>
    <row r="306" customFormat="false" ht="15" hidden="false" customHeight="false" outlineLevel="0" collapsed="false">
      <c r="A306" s="6" t="n">
        <v>302</v>
      </c>
      <c r="B306" s="6" t="s">
        <v>411</v>
      </c>
      <c r="C306" s="6" t="s">
        <v>762</v>
      </c>
      <c r="D306" s="6" t="s">
        <v>761</v>
      </c>
    </row>
    <row r="307" customFormat="false" ht="15" hidden="false" customHeight="false" outlineLevel="0" collapsed="false">
      <c r="A307" s="6" t="n">
        <v>303</v>
      </c>
      <c r="B307" s="6" t="s">
        <v>411</v>
      </c>
      <c r="C307" s="6" t="s">
        <v>1462</v>
      </c>
      <c r="D307" s="6" t="s">
        <v>1461</v>
      </c>
    </row>
    <row r="308" customFormat="false" ht="22.35" hidden="false" customHeight="false" outlineLevel="0" collapsed="false">
      <c r="A308" s="6" t="n">
        <v>304</v>
      </c>
      <c r="B308" s="6" t="s">
        <v>411</v>
      </c>
      <c r="C308" s="6" t="s">
        <v>1465</v>
      </c>
      <c r="D308" s="6" t="s">
        <v>1464</v>
      </c>
    </row>
    <row r="309" customFormat="false" ht="15" hidden="false" customHeight="false" outlineLevel="0" collapsed="false">
      <c r="A309" s="6" t="n">
        <v>305</v>
      </c>
      <c r="B309" s="6" t="s">
        <v>411</v>
      </c>
      <c r="C309" s="6" t="s">
        <v>1468</v>
      </c>
      <c r="D309" s="6" t="s">
        <v>1467</v>
      </c>
    </row>
    <row r="310" customFormat="false" ht="15" hidden="false" customHeight="false" outlineLevel="0" collapsed="false">
      <c r="A310" s="6" t="n">
        <v>306</v>
      </c>
      <c r="B310" s="6" t="s">
        <v>411</v>
      </c>
      <c r="C310" s="6" t="s">
        <v>1471</v>
      </c>
      <c r="D310" s="6" t="s">
        <v>1470</v>
      </c>
    </row>
    <row r="311" customFormat="false" ht="15" hidden="false" customHeight="false" outlineLevel="0" collapsed="false">
      <c r="A311" s="6" t="n">
        <v>307</v>
      </c>
      <c r="B311" s="6" t="s">
        <v>411</v>
      </c>
      <c r="C311" s="6" t="s">
        <v>1474</v>
      </c>
      <c r="D311" s="6" t="s">
        <v>1473</v>
      </c>
    </row>
    <row r="312" customFormat="false" ht="15" hidden="false" customHeight="false" outlineLevel="0" collapsed="false">
      <c r="A312" s="6" t="n">
        <v>308</v>
      </c>
      <c r="B312" s="6" t="s">
        <v>411</v>
      </c>
      <c r="C312" s="6" t="s">
        <v>1477</v>
      </c>
      <c r="D312" s="6" t="s">
        <v>1476</v>
      </c>
    </row>
    <row r="313" customFormat="false" ht="15" hidden="false" customHeight="false" outlineLevel="0" collapsed="false">
      <c r="A313" s="6" t="n">
        <v>309</v>
      </c>
      <c r="B313" s="6" t="s">
        <v>411</v>
      </c>
      <c r="C313" s="6" t="s">
        <v>1480</v>
      </c>
      <c r="D313" s="6" t="s">
        <v>1479</v>
      </c>
    </row>
    <row r="314" customFormat="false" ht="15" hidden="false" customHeight="false" outlineLevel="0" collapsed="false">
      <c r="A314" s="6" t="n">
        <v>310</v>
      </c>
      <c r="B314" s="6" t="s">
        <v>411</v>
      </c>
      <c r="C314" s="6" t="s">
        <v>1483</v>
      </c>
      <c r="D314" s="6" t="s">
        <v>1482</v>
      </c>
    </row>
    <row r="315" customFormat="false" ht="15" hidden="false" customHeight="false" outlineLevel="0" collapsed="false">
      <c r="A315" s="6" t="n">
        <v>311</v>
      </c>
      <c r="B315" s="6" t="s">
        <v>411</v>
      </c>
      <c r="C315" s="6" t="s">
        <v>771</v>
      </c>
      <c r="D315" s="6" t="s">
        <v>770</v>
      </c>
    </row>
    <row r="316" customFormat="false" ht="15" hidden="false" customHeight="false" outlineLevel="0" collapsed="false">
      <c r="A316" s="6" t="n">
        <v>312</v>
      </c>
      <c r="B316" s="6" t="s">
        <v>411</v>
      </c>
      <c r="C316" s="6" t="s">
        <v>774</v>
      </c>
      <c r="D316" s="6" t="s">
        <v>773</v>
      </c>
    </row>
    <row r="317" customFormat="false" ht="15" hidden="false" customHeight="false" outlineLevel="0" collapsed="false">
      <c r="A317" s="6" t="n">
        <v>313</v>
      </c>
      <c r="B317" s="6" t="s">
        <v>411</v>
      </c>
      <c r="C317" s="6" t="s">
        <v>1486</v>
      </c>
      <c r="D317" s="6" t="s">
        <v>1485</v>
      </c>
    </row>
    <row r="318" customFormat="false" ht="15" hidden="false" customHeight="false" outlineLevel="0" collapsed="false">
      <c r="A318" s="6" t="n">
        <v>314</v>
      </c>
      <c r="B318" s="6" t="s">
        <v>411</v>
      </c>
      <c r="C318" s="6" t="s">
        <v>1489</v>
      </c>
      <c r="D318" s="6" t="s">
        <v>1488</v>
      </c>
    </row>
    <row r="319" customFormat="false" ht="15" hidden="false" customHeight="false" outlineLevel="0" collapsed="false">
      <c r="A319" s="6" t="n">
        <v>315</v>
      </c>
      <c r="B319" s="6" t="s">
        <v>411</v>
      </c>
      <c r="C319" s="6" t="s">
        <v>777</v>
      </c>
      <c r="D319" s="6" t="s">
        <v>776</v>
      </c>
    </row>
    <row r="320" customFormat="false" ht="15" hidden="false" customHeight="false" outlineLevel="0" collapsed="false">
      <c r="A320" s="6" t="n">
        <v>316</v>
      </c>
      <c r="B320" s="6" t="s">
        <v>411</v>
      </c>
      <c r="C320" s="6" t="s">
        <v>1492</v>
      </c>
      <c r="D320" s="6" t="s">
        <v>1491</v>
      </c>
    </row>
    <row r="321" customFormat="false" ht="15" hidden="false" customHeight="false" outlineLevel="0" collapsed="false">
      <c r="A321" s="6" t="n">
        <v>317</v>
      </c>
      <c r="B321" s="6" t="s">
        <v>411</v>
      </c>
      <c r="C321" s="6" t="s">
        <v>1495</v>
      </c>
      <c r="D321" s="6" t="s">
        <v>1494</v>
      </c>
    </row>
    <row r="322" customFormat="false" ht="15" hidden="false" customHeight="false" outlineLevel="0" collapsed="false">
      <c r="A322" s="6" t="n">
        <v>318</v>
      </c>
      <c r="B322" s="6" t="s">
        <v>411</v>
      </c>
      <c r="C322" s="6" t="s">
        <v>1498</v>
      </c>
      <c r="D322" s="6" t="s">
        <v>1497</v>
      </c>
    </row>
    <row r="323" customFormat="false" ht="15" hidden="false" customHeight="false" outlineLevel="0" collapsed="false">
      <c r="A323" s="6" t="n">
        <v>319</v>
      </c>
      <c r="B323" s="6" t="s">
        <v>411</v>
      </c>
      <c r="C323" s="6" t="s">
        <v>783</v>
      </c>
      <c r="D323" s="6" t="s">
        <v>782</v>
      </c>
    </row>
    <row r="324" customFormat="false" ht="15" hidden="false" customHeight="false" outlineLevel="0" collapsed="false">
      <c r="A324" s="6" t="n">
        <v>320</v>
      </c>
      <c r="B324" s="6" t="s">
        <v>411</v>
      </c>
      <c r="C324" s="6" t="s">
        <v>792</v>
      </c>
      <c r="D324" s="6" t="s">
        <v>791</v>
      </c>
    </row>
    <row r="325" customFormat="false" ht="15" hidden="false" customHeight="false" outlineLevel="0" collapsed="false">
      <c r="A325" s="6" t="n">
        <v>321</v>
      </c>
      <c r="B325" s="6" t="s">
        <v>411</v>
      </c>
      <c r="C325" s="6" t="s">
        <v>811</v>
      </c>
      <c r="D325" s="6" t="s">
        <v>810</v>
      </c>
    </row>
    <row r="326" customFormat="false" ht="15" hidden="false" customHeight="false" outlineLevel="0" collapsed="false">
      <c r="A326" s="6" t="n">
        <v>322</v>
      </c>
      <c r="B326" s="6" t="s">
        <v>411</v>
      </c>
      <c r="C326" s="6" t="s">
        <v>1501</v>
      </c>
      <c r="D326" s="6" t="s">
        <v>1500</v>
      </c>
    </row>
    <row r="327" customFormat="false" ht="15" hidden="false" customHeight="false" outlineLevel="0" collapsed="false">
      <c r="A327" s="6" t="n">
        <v>323</v>
      </c>
      <c r="B327" s="6" t="s">
        <v>411</v>
      </c>
      <c r="C327" s="6" t="s">
        <v>1504</v>
      </c>
      <c r="D327" s="6" t="s">
        <v>1503</v>
      </c>
    </row>
    <row r="328" customFormat="false" ht="15" hidden="false" customHeight="false" outlineLevel="0" collapsed="false">
      <c r="A328" s="6" t="n">
        <v>324</v>
      </c>
      <c r="B328" s="6" t="s">
        <v>411</v>
      </c>
      <c r="C328" s="6" t="s">
        <v>1507</v>
      </c>
      <c r="D328" s="6" t="s">
        <v>1506</v>
      </c>
    </row>
    <row r="329" customFormat="false" ht="15" hidden="false" customHeight="false" outlineLevel="0" collapsed="false">
      <c r="A329" s="6" t="n">
        <v>325</v>
      </c>
      <c r="B329" s="6" t="s">
        <v>411</v>
      </c>
      <c r="C329" s="6" t="s">
        <v>813</v>
      </c>
      <c r="D329" s="6" t="s">
        <v>812</v>
      </c>
    </row>
    <row r="330" customFormat="false" ht="15" hidden="false" customHeight="false" outlineLevel="0" collapsed="false">
      <c r="A330" s="6" t="n">
        <v>326</v>
      </c>
      <c r="B330" s="6" t="s">
        <v>411</v>
      </c>
      <c r="C330" s="6" t="s">
        <v>1510</v>
      </c>
      <c r="D330" s="6" t="s">
        <v>1509</v>
      </c>
    </row>
    <row r="331" customFormat="false" ht="15" hidden="false" customHeight="false" outlineLevel="0" collapsed="false">
      <c r="A331" s="6" t="n">
        <v>327</v>
      </c>
      <c r="B331" s="6" t="s">
        <v>411</v>
      </c>
      <c r="C331" s="6" t="s">
        <v>1513</v>
      </c>
      <c r="D331" s="6" t="s">
        <v>1512</v>
      </c>
    </row>
    <row r="332" customFormat="false" ht="15" hidden="false" customHeight="false" outlineLevel="0" collapsed="false">
      <c r="A332" s="6" t="n">
        <v>328</v>
      </c>
      <c r="B332" s="6" t="s">
        <v>411</v>
      </c>
      <c r="C332" s="6" t="s">
        <v>817</v>
      </c>
      <c r="D332" s="6" t="s">
        <v>816</v>
      </c>
    </row>
    <row r="333" customFormat="false" ht="15" hidden="false" customHeight="false" outlineLevel="0" collapsed="false">
      <c r="A333" s="6" t="n">
        <v>329</v>
      </c>
      <c r="B333" s="6" t="s">
        <v>411</v>
      </c>
      <c r="C333" s="6" t="s">
        <v>819</v>
      </c>
      <c r="D333" s="6" t="s">
        <v>818</v>
      </c>
    </row>
    <row r="334" customFormat="false" ht="15" hidden="false" customHeight="false" outlineLevel="0" collapsed="false">
      <c r="A334" s="6" t="n">
        <v>330</v>
      </c>
      <c r="B334" s="6" t="s">
        <v>411</v>
      </c>
      <c r="C334" s="6" t="s">
        <v>1516</v>
      </c>
      <c r="D334" s="6" t="s">
        <v>1515</v>
      </c>
    </row>
    <row r="335" customFormat="false" ht="22.35" hidden="false" customHeight="false" outlineLevel="0" collapsed="false">
      <c r="A335" s="6" t="n">
        <v>331</v>
      </c>
      <c r="B335" s="6" t="s">
        <v>411</v>
      </c>
      <c r="C335" s="6" t="s">
        <v>1519</v>
      </c>
      <c r="D335" s="6" t="s">
        <v>1518</v>
      </c>
    </row>
    <row r="336" customFormat="false" ht="15" hidden="false" customHeight="false" outlineLevel="0" collapsed="false">
      <c r="A336" s="6" t="n">
        <v>332</v>
      </c>
      <c r="B336" s="6" t="s">
        <v>411</v>
      </c>
      <c r="C336" s="6" t="s">
        <v>1522</v>
      </c>
      <c r="D336" s="6" t="s">
        <v>1521</v>
      </c>
    </row>
    <row r="337" customFormat="false" ht="22.35" hidden="false" customHeight="false" outlineLevel="0" collapsed="false">
      <c r="A337" s="6" t="n">
        <v>333</v>
      </c>
      <c r="B337" s="6" t="s">
        <v>411</v>
      </c>
      <c r="C337" s="6" t="s">
        <v>1525</v>
      </c>
      <c r="D337" s="6" t="s">
        <v>1524</v>
      </c>
    </row>
    <row r="338" customFormat="false" ht="15" hidden="false" customHeight="false" outlineLevel="0" collapsed="false">
      <c r="A338" s="6" t="n">
        <v>334</v>
      </c>
      <c r="B338" s="6" t="s">
        <v>411</v>
      </c>
      <c r="C338" s="6" t="s">
        <v>1528</v>
      </c>
      <c r="D338" s="6" t="s">
        <v>1527</v>
      </c>
    </row>
    <row r="339" customFormat="false" ht="15" hidden="false" customHeight="false" outlineLevel="0" collapsed="false">
      <c r="A339" s="6" t="n">
        <v>335</v>
      </c>
      <c r="B339" s="6" t="s">
        <v>411</v>
      </c>
      <c r="C339" s="6" t="s">
        <v>829</v>
      </c>
      <c r="D339" s="6" t="s">
        <v>828</v>
      </c>
    </row>
    <row r="340" customFormat="false" ht="22.35" hidden="false" customHeight="false" outlineLevel="0" collapsed="false">
      <c r="A340" s="6" t="n">
        <v>336</v>
      </c>
      <c r="B340" s="6" t="s">
        <v>411</v>
      </c>
      <c r="C340" s="6" t="s">
        <v>2264</v>
      </c>
      <c r="D340" s="6" t="s">
        <v>2254</v>
      </c>
    </row>
    <row r="341" customFormat="false" ht="15" hidden="false" customHeight="false" outlineLevel="0" collapsed="false">
      <c r="A341" s="6" t="n">
        <v>337</v>
      </c>
      <c r="B341" s="6" t="s">
        <v>411</v>
      </c>
      <c r="C341" s="6" t="s">
        <v>1534</v>
      </c>
      <c r="D341" s="6" t="s">
        <v>1533</v>
      </c>
    </row>
    <row r="342" customFormat="false" ht="15" hidden="false" customHeight="false" outlineLevel="0" collapsed="false">
      <c r="A342" s="6" t="n">
        <v>338</v>
      </c>
      <c r="B342" s="6" t="s">
        <v>411</v>
      </c>
      <c r="C342" s="6" t="s">
        <v>1531</v>
      </c>
      <c r="D342" s="6" t="s">
        <v>1530</v>
      </c>
    </row>
    <row r="343" customFormat="false" ht="15" hidden="false" customHeight="false" outlineLevel="0" collapsed="false">
      <c r="A343" s="6" t="n">
        <v>339</v>
      </c>
      <c r="B343" s="6" t="s">
        <v>411</v>
      </c>
      <c r="C343" s="6" t="s">
        <v>1537</v>
      </c>
      <c r="D343" s="6" t="s">
        <v>1536</v>
      </c>
    </row>
    <row r="344" customFormat="false" ht="15" hidden="false" customHeight="false" outlineLevel="0" collapsed="false">
      <c r="A344" s="6" t="n">
        <v>340</v>
      </c>
      <c r="B344" s="6" t="s">
        <v>411</v>
      </c>
      <c r="C344" s="6" t="s">
        <v>833</v>
      </c>
      <c r="D344" s="6" t="s">
        <v>832</v>
      </c>
    </row>
    <row r="345" customFormat="false" ht="15" hidden="false" customHeight="false" outlineLevel="0" collapsed="false">
      <c r="A345" s="6" t="n">
        <v>341</v>
      </c>
      <c r="B345" s="6" t="s">
        <v>411</v>
      </c>
      <c r="C345" s="6" t="s">
        <v>835</v>
      </c>
      <c r="D345" s="6" t="s">
        <v>834</v>
      </c>
    </row>
    <row r="346" customFormat="false" ht="22.35" hidden="false" customHeight="false" outlineLevel="0" collapsed="false">
      <c r="A346" s="6" t="n">
        <v>342</v>
      </c>
      <c r="B346" s="6" t="s">
        <v>411</v>
      </c>
      <c r="C346" s="6" t="s">
        <v>839</v>
      </c>
      <c r="D346" s="6" t="s">
        <v>838</v>
      </c>
    </row>
    <row r="347" customFormat="false" ht="15" hidden="false" customHeight="false" outlineLevel="0" collapsed="false">
      <c r="A347" s="6" t="n">
        <v>343</v>
      </c>
      <c r="B347" s="6" t="s">
        <v>411</v>
      </c>
      <c r="C347" s="6" t="s">
        <v>841</v>
      </c>
      <c r="D347" s="6" t="s">
        <v>840</v>
      </c>
    </row>
    <row r="348" customFormat="false" ht="15" hidden="false" customHeight="false" outlineLevel="0" collapsed="false">
      <c r="A348" s="6" t="n">
        <v>344</v>
      </c>
      <c r="B348" s="6" t="s">
        <v>411</v>
      </c>
      <c r="C348" s="6" t="s">
        <v>843</v>
      </c>
      <c r="D348" s="6" t="s">
        <v>842</v>
      </c>
    </row>
    <row r="349" customFormat="false" ht="15" hidden="false" customHeight="false" outlineLevel="0" collapsed="false">
      <c r="A349" s="6" t="n">
        <v>345</v>
      </c>
      <c r="B349" s="6" t="s">
        <v>411</v>
      </c>
      <c r="C349" s="6" t="s">
        <v>845</v>
      </c>
      <c r="D349" s="6" t="s">
        <v>844</v>
      </c>
    </row>
    <row r="350" customFormat="false" ht="15" hidden="false" customHeight="false" outlineLevel="0" collapsed="false">
      <c r="A350" s="6" t="n">
        <v>346</v>
      </c>
      <c r="B350" s="6" t="s">
        <v>411</v>
      </c>
      <c r="C350" s="6" t="s">
        <v>1540</v>
      </c>
      <c r="D350" s="6" t="s">
        <v>1539</v>
      </c>
    </row>
    <row r="351" customFormat="false" ht="15" hidden="false" customHeight="false" outlineLevel="0" collapsed="false">
      <c r="A351" s="6" t="n">
        <v>347</v>
      </c>
      <c r="B351" s="6" t="s">
        <v>411</v>
      </c>
      <c r="C351" s="6" t="s">
        <v>1543</v>
      </c>
      <c r="D351" s="6" t="s">
        <v>1542</v>
      </c>
    </row>
    <row r="352" customFormat="false" ht="15" hidden="false" customHeight="false" outlineLevel="0" collapsed="false">
      <c r="A352" s="6" t="n">
        <v>348</v>
      </c>
      <c r="B352" s="6" t="s">
        <v>411</v>
      </c>
      <c r="C352" s="6" t="s">
        <v>1546</v>
      </c>
      <c r="D352" s="6" t="s">
        <v>1545</v>
      </c>
    </row>
    <row r="353" customFormat="false" ht="15" hidden="false" customHeight="false" outlineLevel="0" collapsed="false">
      <c r="A353" s="6" t="n">
        <v>349</v>
      </c>
      <c r="B353" s="6" t="s">
        <v>411</v>
      </c>
      <c r="C353" s="6" t="s">
        <v>1549</v>
      </c>
      <c r="D353" s="6" t="s">
        <v>1548</v>
      </c>
    </row>
    <row r="354" customFormat="false" ht="15" hidden="false" customHeight="false" outlineLevel="0" collapsed="false">
      <c r="A354" s="6" t="n">
        <v>350</v>
      </c>
      <c r="B354" s="6" t="s">
        <v>411</v>
      </c>
      <c r="C354" s="6" t="s">
        <v>1552</v>
      </c>
      <c r="D354" s="6" t="s">
        <v>1551</v>
      </c>
    </row>
    <row r="355" customFormat="false" ht="15" hidden="false" customHeight="false" outlineLevel="0" collapsed="false">
      <c r="A355" s="6" t="n">
        <v>351</v>
      </c>
      <c r="B355" s="6" t="s">
        <v>411</v>
      </c>
      <c r="C355" s="6" t="s">
        <v>849</v>
      </c>
      <c r="D355" s="6" t="s">
        <v>848</v>
      </c>
    </row>
    <row r="356" customFormat="false" ht="15" hidden="false" customHeight="false" outlineLevel="0" collapsed="false">
      <c r="A356" s="6" t="n">
        <v>352</v>
      </c>
      <c r="B356" s="6" t="s">
        <v>411</v>
      </c>
      <c r="C356" s="6" t="s">
        <v>1555</v>
      </c>
      <c r="D356" s="6" t="s">
        <v>1554</v>
      </c>
    </row>
    <row r="357" customFormat="false" ht="15" hidden="false" customHeight="false" outlineLevel="0" collapsed="false">
      <c r="A357" s="6" t="n">
        <v>353</v>
      </c>
      <c r="B357" s="6" t="s">
        <v>411</v>
      </c>
      <c r="C357" s="6" t="s">
        <v>1558</v>
      </c>
      <c r="D357" s="6" t="s">
        <v>1557</v>
      </c>
    </row>
    <row r="358" customFormat="false" ht="15" hidden="false" customHeight="false" outlineLevel="0" collapsed="false">
      <c r="A358" s="6" t="n">
        <v>354</v>
      </c>
      <c r="B358" s="6" t="s">
        <v>411</v>
      </c>
      <c r="C358" s="6" t="s">
        <v>851</v>
      </c>
      <c r="D358" s="6" t="s">
        <v>850</v>
      </c>
    </row>
    <row r="359" customFormat="false" ht="15" hidden="false" customHeight="false" outlineLevel="0" collapsed="false">
      <c r="A359" s="6" t="n">
        <v>355</v>
      </c>
      <c r="B359" s="6" t="s">
        <v>411</v>
      </c>
      <c r="C359" s="6" t="s">
        <v>855</v>
      </c>
      <c r="D359" s="6" t="s">
        <v>854</v>
      </c>
    </row>
    <row r="360" customFormat="false" ht="15" hidden="false" customHeight="false" outlineLevel="0" collapsed="false">
      <c r="A360" s="6" t="n">
        <v>356</v>
      </c>
      <c r="B360" s="6" t="s">
        <v>411</v>
      </c>
      <c r="C360" s="6" t="s">
        <v>858</v>
      </c>
      <c r="D360" s="6" t="s">
        <v>857</v>
      </c>
    </row>
    <row r="361" customFormat="false" ht="15" hidden="false" customHeight="false" outlineLevel="0" collapsed="false">
      <c r="A361" s="6" t="n">
        <v>357</v>
      </c>
      <c r="B361" s="6" t="s">
        <v>411</v>
      </c>
      <c r="C361" s="6" t="s">
        <v>862</v>
      </c>
      <c r="D361" s="6" t="s">
        <v>861</v>
      </c>
    </row>
    <row r="362" customFormat="false" ht="15" hidden="false" customHeight="false" outlineLevel="0" collapsed="false">
      <c r="A362" s="6" t="n">
        <v>358</v>
      </c>
      <c r="B362" s="6" t="s">
        <v>411</v>
      </c>
      <c r="C362" s="6" t="s">
        <v>1561</v>
      </c>
      <c r="D362" s="6" t="s">
        <v>1560</v>
      </c>
    </row>
    <row r="363" customFormat="false" ht="15" hidden="false" customHeight="false" outlineLevel="0" collapsed="false">
      <c r="A363" s="6" t="n">
        <v>359</v>
      </c>
      <c r="B363" s="6" t="s">
        <v>411</v>
      </c>
      <c r="C363" s="6" t="s">
        <v>864</v>
      </c>
      <c r="D363" s="6" t="s">
        <v>863</v>
      </c>
    </row>
    <row r="364" customFormat="false" ht="15" hidden="false" customHeight="false" outlineLevel="0" collapsed="false">
      <c r="A364" s="6" t="n">
        <v>360</v>
      </c>
      <c r="B364" s="6" t="s">
        <v>411</v>
      </c>
      <c r="C364" s="6" t="s">
        <v>868</v>
      </c>
      <c r="D364" s="6" t="s">
        <v>867</v>
      </c>
    </row>
    <row r="365" customFormat="false" ht="15" hidden="false" customHeight="false" outlineLevel="0" collapsed="false">
      <c r="A365" s="6" t="n">
        <v>361</v>
      </c>
      <c r="B365" s="6" t="s">
        <v>411</v>
      </c>
      <c r="C365" s="6" t="s">
        <v>1564</v>
      </c>
      <c r="D365" s="6" t="s">
        <v>1563</v>
      </c>
    </row>
    <row r="366" customFormat="false" ht="15" hidden="false" customHeight="false" outlineLevel="0" collapsed="false">
      <c r="A366" s="6" t="n">
        <v>362</v>
      </c>
      <c r="B366" s="6" t="s">
        <v>411</v>
      </c>
      <c r="C366" s="6" t="s">
        <v>1567</v>
      </c>
      <c r="D366" s="6" t="s">
        <v>1566</v>
      </c>
    </row>
    <row r="367" customFormat="false" ht="15" hidden="false" customHeight="false" outlineLevel="0" collapsed="false">
      <c r="A367" s="6" t="n">
        <v>363</v>
      </c>
      <c r="B367" s="6" t="s">
        <v>411</v>
      </c>
      <c r="C367" s="6" t="s">
        <v>1570</v>
      </c>
      <c r="D367" s="6" t="s">
        <v>1569</v>
      </c>
    </row>
    <row r="368" customFormat="false" ht="15" hidden="false" customHeight="false" outlineLevel="0" collapsed="false">
      <c r="A368" s="6" t="n">
        <v>364</v>
      </c>
      <c r="B368" s="6" t="s">
        <v>411</v>
      </c>
      <c r="C368" s="6" t="s">
        <v>1573</v>
      </c>
      <c r="D368" s="6" t="s">
        <v>1572</v>
      </c>
    </row>
    <row r="369" customFormat="false" ht="15" hidden="false" customHeight="false" outlineLevel="0" collapsed="false">
      <c r="A369" s="6" t="n">
        <v>365</v>
      </c>
      <c r="B369" s="6" t="s">
        <v>411</v>
      </c>
      <c r="C369" s="6" t="s">
        <v>1576</v>
      </c>
      <c r="D369" s="6" t="s">
        <v>1575</v>
      </c>
    </row>
    <row r="370" customFormat="false" ht="15" hidden="false" customHeight="false" outlineLevel="0" collapsed="false">
      <c r="A370" s="6" t="n">
        <v>366</v>
      </c>
      <c r="B370" s="6" t="s">
        <v>411</v>
      </c>
      <c r="C370" s="6" t="s">
        <v>1579</v>
      </c>
      <c r="D370" s="6" t="s">
        <v>1578</v>
      </c>
    </row>
    <row r="371" customFormat="false" ht="15" hidden="false" customHeight="false" outlineLevel="0" collapsed="false">
      <c r="A371" s="6" t="n">
        <v>367</v>
      </c>
      <c r="B371" s="6" t="s">
        <v>411</v>
      </c>
      <c r="C371" s="6" t="s">
        <v>1582</v>
      </c>
      <c r="D371" s="6" t="s">
        <v>1581</v>
      </c>
    </row>
    <row r="372" customFormat="false" ht="15" hidden="false" customHeight="false" outlineLevel="0" collapsed="false">
      <c r="A372" s="6" t="n">
        <v>368</v>
      </c>
      <c r="B372" s="6" t="s">
        <v>411</v>
      </c>
      <c r="C372" s="6" t="s">
        <v>1585</v>
      </c>
      <c r="D372" s="6" t="s">
        <v>1584</v>
      </c>
    </row>
    <row r="373" customFormat="false" ht="15" hidden="false" customHeight="false" outlineLevel="0" collapsed="false">
      <c r="A373" s="6" t="n">
        <v>369</v>
      </c>
      <c r="B373" s="6" t="s">
        <v>411</v>
      </c>
      <c r="C373" s="6" t="s">
        <v>1588</v>
      </c>
      <c r="D373" s="6" t="s">
        <v>1587</v>
      </c>
    </row>
    <row r="374" customFormat="false" ht="15" hidden="false" customHeight="false" outlineLevel="0" collapsed="false">
      <c r="A374" s="6" t="n">
        <v>370</v>
      </c>
      <c r="B374" s="6" t="s">
        <v>411</v>
      </c>
      <c r="C374" s="6" t="s">
        <v>1591</v>
      </c>
      <c r="D374" s="6" t="s">
        <v>1590</v>
      </c>
    </row>
    <row r="375" customFormat="false" ht="15" hidden="false" customHeight="false" outlineLevel="0" collapsed="false">
      <c r="A375" s="6" t="n">
        <v>371</v>
      </c>
      <c r="B375" s="6" t="s">
        <v>411</v>
      </c>
      <c r="C375" s="6" t="s">
        <v>1594</v>
      </c>
      <c r="D375" s="6" t="s">
        <v>1593</v>
      </c>
    </row>
    <row r="376" customFormat="false" ht="15" hidden="false" customHeight="false" outlineLevel="0" collapsed="false">
      <c r="A376" s="6" t="n">
        <v>372</v>
      </c>
      <c r="B376" s="6" t="s">
        <v>411</v>
      </c>
      <c r="C376" s="6" t="s">
        <v>1598</v>
      </c>
      <c r="D376" s="6" t="s">
        <v>1597</v>
      </c>
    </row>
    <row r="377" customFormat="false" ht="22.35" hidden="false" customHeight="false" outlineLevel="0" collapsed="false">
      <c r="A377" s="6" t="n">
        <v>373</v>
      </c>
      <c r="B377" s="6" t="s">
        <v>411</v>
      </c>
      <c r="C377" s="6" t="s">
        <v>874</v>
      </c>
      <c r="D377" s="6" t="s">
        <v>873</v>
      </c>
    </row>
    <row r="378" customFormat="false" ht="15" hidden="false" customHeight="false" outlineLevel="0" collapsed="false">
      <c r="A378" s="6" t="n">
        <v>374</v>
      </c>
      <c r="B378" s="6" t="s">
        <v>411</v>
      </c>
      <c r="C378" s="6" t="s">
        <v>876</v>
      </c>
      <c r="D378" s="6" t="s">
        <v>875</v>
      </c>
    </row>
    <row r="379" customFormat="false" ht="15" hidden="false" customHeight="false" outlineLevel="0" collapsed="false">
      <c r="A379" s="6" t="n">
        <v>375</v>
      </c>
      <c r="B379" s="6" t="s">
        <v>411</v>
      </c>
      <c r="C379" s="6" t="s">
        <v>1601</v>
      </c>
      <c r="D379" s="6" t="s">
        <v>1600</v>
      </c>
    </row>
    <row r="380" customFormat="false" ht="15" hidden="false" customHeight="false" outlineLevel="0" collapsed="false">
      <c r="A380" s="6" t="n">
        <v>376</v>
      </c>
      <c r="B380" s="6" t="s">
        <v>411</v>
      </c>
      <c r="C380" s="6" t="s">
        <v>1604</v>
      </c>
      <c r="D380" s="6" t="s">
        <v>1603</v>
      </c>
    </row>
    <row r="381" customFormat="false" ht="15" hidden="false" customHeight="false" outlineLevel="0" collapsed="false">
      <c r="A381" s="6" t="n">
        <v>377</v>
      </c>
      <c r="B381" s="6" t="s">
        <v>411</v>
      </c>
      <c r="C381" s="6" t="s">
        <v>1607</v>
      </c>
      <c r="D381" s="6" t="s">
        <v>1606</v>
      </c>
    </row>
    <row r="382" customFormat="false" ht="15" hidden="false" customHeight="false" outlineLevel="0" collapsed="false">
      <c r="A382" s="6" t="n">
        <v>378</v>
      </c>
      <c r="B382" s="6" t="s">
        <v>411</v>
      </c>
      <c r="C382" s="6" t="s">
        <v>1610</v>
      </c>
      <c r="D382" s="6" t="s">
        <v>1609</v>
      </c>
    </row>
    <row r="383" customFormat="false" ht="15" hidden="false" customHeight="false" outlineLevel="0" collapsed="false">
      <c r="A383" s="6" t="n">
        <v>379</v>
      </c>
      <c r="B383" s="6" t="s">
        <v>411</v>
      </c>
      <c r="C383" s="6" t="s">
        <v>1613</v>
      </c>
      <c r="D383" s="6" t="s">
        <v>1612</v>
      </c>
    </row>
    <row r="384" customFormat="false" ht="15" hidden="false" customHeight="false" outlineLevel="0" collapsed="false">
      <c r="A384" s="6" t="n">
        <v>380</v>
      </c>
      <c r="B384" s="6" t="s">
        <v>411</v>
      </c>
      <c r="C384" s="6" t="s">
        <v>1616</v>
      </c>
      <c r="D384" s="6" t="s">
        <v>1615</v>
      </c>
    </row>
    <row r="385" customFormat="false" ht="15" hidden="false" customHeight="false" outlineLevel="0" collapsed="false">
      <c r="A385" s="6" t="n">
        <v>381</v>
      </c>
      <c r="B385" s="6" t="s">
        <v>411</v>
      </c>
      <c r="C385" s="6" t="s">
        <v>1619</v>
      </c>
      <c r="D385" s="6" t="s">
        <v>1618</v>
      </c>
    </row>
    <row r="386" customFormat="false" ht="15" hidden="false" customHeight="false" outlineLevel="0" collapsed="false">
      <c r="A386" s="6" t="n">
        <v>382</v>
      </c>
      <c r="B386" s="6" t="s">
        <v>411</v>
      </c>
      <c r="C386" s="6" t="s">
        <v>1622</v>
      </c>
      <c r="D386" s="6" t="s">
        <v>1621</v>
      </c>
    </row>
    <row r="387" customFormat="false" ht="15" hidden="false" customHeight="false" outlineLevel="0" collapsed="false">
      <c r="A387" s="6" t="n">
        <v>383</v>
      </c>
      <c r="B387" s="6" t="s">
        <v>411</v>
      </c>
      <c r="C387" s="6" t="s">
        <v>1625</v>
      </c>
      <c r="D387" s="6" t="s">
        <v>1624</v>
      </c>
    </row>
    <row r="388" customFormat="false" ht="15" hidden="false" customHeight="false" outlineLevel="0" collapsed="false">
      <c r="A388" s="6" t="n">
        <v>384</v>
      </c>
      <c r="B388" s="6" t="s">
        <v>411</v>
      </c>
      <c r="C388" s="6" t="s">
        <v>1628</v>
      </c>
      <c r="D388" s="6" t="s">
        <v>1627</v>
      </c>
    </row>
    <row r="389" customFormat="false" ht="15" hidden="false" customHeight="false" outlineLevel="0" collapsed="false">
      <c r="A389" s="6" t="n">
        <v>385</v>
      </c>
      <c r="B389" s="6" t="s">
        <v>411</v>
      </c>
      <c r="C389" s="6" t="s">
        <v>1631</v>
      </c>
      <c r="D389" s="6" t="s">
        <v>1630</v>
      </c>
    </row>
    <row r="390" customFormat="false" ht="22.35" hidden="false" customHeight="false" outlineLevel="0" collapsed="false">
      <c r="A390" s="6" t="n">
        <v>386</v>
      </c>
      <c r="B390" s="6" t="s">
        <v>411</v>
      </c>
      <c r="C390" s="6" t="s">
        <v>2265</v>
      </c>
      <c r="D390" s="6" t="s">
        <v>2254</v>
      </c>
    </row>
    <row r="391" customFormat="false" ht="22.35" hidden="false" customHeight="false" outlineLevel="0" collapsed="false">
      <c r="A391" s="6" t="n">
        <v>387</v>
      </c>
      <c r="B391" s="6" t="s">
        <v>411</v>
      </c>
      <c r="C391" s="6" t="s">
        <v>1634</v>
      </c>
      <c r="D391" s="6" t="s">
        <v>1633</v>
      </c>
    </row>
    <row r="392" customFormat="false" ht="15" hidden="false" customHeight="false" outlineLevel="0" collapsed="false">
      <c r="A392" s="6" t="n">
        <v>388</v>
      </c>
      <c r="B392" s="6" t="s">
        <v>411</v>
      </c>
      <c r="C392" s="6" t="s">
        <v>1637</v>
      </c>
      <c r="D392" s="6" t="s">
        <v>1636</v>
      </c>
    </row>
    <row r="393" customFormat="false" ht="15" hidden="false" customHeight="false" outlineLevel="0" collapsed="false">
      <c r="A393" s="6" t="n">
        <v>389</v>
      </c>
      <c r="B393" s="6" t="s">
        <v>411</v>
      </c>
      <c r="C393" s="6" t="s">
        <v>1640</v>
      </c>
      <c r="D393" s="6" t="s">
        <v>1639</v>
      </c>
    </row>
    <row r="394" customFormat="false" ht="15" hidden="false" customHeight="false" outlineLevel="0" collapsed="false">
      <c r="A394" s="6" t="n">
        <v>390</v>
      </c>
      <c r="B394" s="6" t="s">
        <v>411</v>
      </c>
      <c r="C394" s="6" t="s">
        <v>1643</v>
      </c>
      <c r="D394" s="6" t="s">
        <v>1642</v>
      </c>
    </row>
    <row r="395" customFormat="false" ht="15" hidden="false" customHeight="false" outlineLevel="0" collapsed="false">
      <c r="A395" s="6" t="n">
        <v>391</v>
      </c>
      <c r="B395" s="6" t="s">
        <v>411</v>
      </c>
      <c r="C395" s="6" t="s">
        <v>1646</v>
      </c>
      <c r="D395" s="6" t="s">
        <v>1645</v>
      </c>
    </row>
    <row r="396" customFormat="false" ht="15" hidden="false" customHeight="false" outlineLevel="0" collapsed="false">
      <c r="A396" s="6" t="n">
        <v>392</v>
      </c>
      <c r="B396" s="6" t="s">
        <v>411</v>
      </c>
      <c r="C396" s="6" t="s">
        <v>1649</v>
      </c>
      <c r="D396" s="6" t="s">
        <v>1648</v>
      </c>
    </row>
    <row r="397" customFormat="false" ht="15" hidden="false" customHeight="false" outlineLevel="0" collapsed="false">
      <c r="A397" s="6" t="n">
        <v>393</v>
      </c>
      <c r="B397" s="6" t="s">
        <v>411</v>
      </c>
      <c r="C397" s="6" t="s">
        <v>893</v>
      </c>
      <c r="D397" s="6" t="s">
        <v>892</v>
      </c>
    </row>
    <row r="398" customFormat="false" ht="15" hidden="false" customHeight="false" outlineLevel="0" collapsed="false">
      <c r="A398" s="6" t="n">
        <v>394</v>
      </c>
      <c r="B398" s="6" t="s">
        <v>411</v>
      </c>
      <c r="C398" s="6" t="s">
        <v>1652</v>
      </c>
      <c r="D398" s="6" t="s">
        <v>1651</v>
      </c>
    </row>
    <row r="399" customFormat="false" ht="22.35" hidden="false" customHeight="false" outlineLevel="0" collapsed="false">
      <c r="A399" s="6" t="n">
        <v>395</v>
      </c>
      <c r="B399" s="6" t="s">
        <v>411</v>
      </c>
      <c r="C399" s="6" t="s">
        <v>1655</v>
      </c>
      <c r="D399" s="6" t="s">
        <v>1654</v>
      </c>
    </row>
    <row r="400" customFormat="false" ht="15" hidden="false" customHeight="false" outlineLevel="0" collapsed="false">
      <c r="A400" s="6" t="n">
        <v>396</v>
      </c>
      <c r="B400" s="6" t="s">
        <v>411</v>
      </c>
      <c r="C400" s="6" t="s">
        <v>1658</v>
      </c>
      <c r="D400" s="6" t="s">
        <v>1657</v>
      </c>
    </row>
    <row r="401" customFormat="false" ht="15" hidden="false" customHeight="false" outlineLevel="0" collapsed="false">
      <c r="A401" s="6" t="n">
        <v>397</v>
      </c>
      <c r="B401" s="6" t="s">
        <v>411</v>
      </c>
      <c r="C401" s="6" t="s">
        <v>897</v>
      </c>
      <c r="D401" s="6" t="s">
        <v>896</v>
      </c>
    </row>
    <row r="402" customFormat="false" ht="15" hidden="false" customHeight="false" outlineLevel="0" collapsed="false">
      <c r="A402" s="6" t="n">
        <v>398</v>
      </c>
      <c r="B402" s="6" t="s">
        <v>411</v>
      </c>
      <c r="C402" s="6" t="s">
        <v>899</v>
      </c>
      <c r="D402" s="6" t="s">
        <v>898</v>
      </c>
    </row>
    <row r="403" customFormat="false" ht="15" hidden="false" customHeight="false" outlineLevel="0" collapsed="false">
      <c r="A403" s="6" t="n">
        <v>399</v>
      </c>
      <c r="B403" s="6" t="s">
        <v>411</v>
      </c>
      <c r="C403" s="6" t="s">
        <v>901</v>
      </c>
      <c r="D403" s="6" t="s">
        <v>900</v>
      </c>
    </row>
    <row r="404" customFormat="false" ht="15" hidden="false" customHeight="false" outlineLevel="0" collapsed="false">
      <c r="A404" s="6" t="n">
        <v>400</v>
      </c>
      <c r="B404" s="6" t="s">
        <v>411</v>
      </c>
      <c r="C404" s="6" t="s">
        <v>1661</v>
      </c>
      <c r="D404" s="6" t="s">
        <v>1660</v>
      </c>
    </row>
    <row r="405" customFormat="false" ht="15" hidden="false" customHeight="false" outlineLevel="0" collapsed="false">
      <c r="A405" s="6" t="n">
        <v>401</v>
      </c>
      <c r="B405" s="6" t="s">
        <v>411</v>
      </c>
      <c r="C405" s="6" t="s">
        <v>1664</v>
      </c>
      <c r="D405" s="6" t="s">
        <v>1663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2026-05-14T15:53:40Z</dcterms:created>
  <dc:creator>openpyxl</dc:creator>
  <dc:description/>
  <dc:language>en-US</dc:language>
  <cp:lastModifiedBy/>
  <dcterms:modified xsi:type="dcterms:W3CDTF">2026-05-14T15:53:41Z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